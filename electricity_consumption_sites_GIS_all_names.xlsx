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electricity_consumption_sites" sheetId="1" state="visible" r:id="rId1"/>
  </sheets>
  <externalReferences>
    <externalReference r:id="rId2"/>
    <externalReference r:id="rId3"/>
    <externalReference r:id="rId4"/>
  </externalReferences>
  <definedNames>
    <definedName name="_xlnm._FilterDatabase" localSheetId="0" hidden="1">'electricity_consumption_sites'!$A$2:$H$390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Simplified Arabic"/>
      <family val="1"/>
      <sz val="8"/>
    </font>
    <font>
      <name val="Simplified Arabic"/>
      <family val="1"/>
      <color theme="1"/>
      <sz val="14"/>
    </font>
    <font>
      <name val="Simplified Arabic"/>
      <family val="1"/>
      <color theme="1"/>
      <sz val="8"/>
    </font>
    <font>
      <name val="Aptos Narrow"/>
      <family val="2"/>
      <b val="1"/>
      <color theme="1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1" fillId="0" borderId="0"/>
    <xf numFmtId="9" fontId="1" fillId="0" borderId="0"/>
  </cellStyleXfs>
  <cellXfs count="33"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readingOrder="2"/>
    </xf>
    <xf numFmtId="0" fontId="3" fillId="2" borderId="1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top" readingOrder="2"/>
    </xf>
    <xf numFmtId="0" fontId="3" fillId="0" borderId="1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1" xfId="0">
      <alignment horizontal="center" vertical="center"/>
    </xf>
    <xf numFmtId="2" fontId="2" fillId="0" borderId="0" pivotButton="0" quotePrefix="0" xfId="0"/>
    <xf numFmtId="0" fontId="2" fillId="0" borderId="0" pivotButton="0" quotePrefix="0" xfId="0"/>
    <xf numFmtId="9" fontId="2" fillId="0" borderId="0" pivotButton="0" quotePrefix="0" xfId="1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top" readingOrder="2"/>
    </xf>
    <xf numFmtId="0" fontId="3" fillId="4" borderId="0" applyAlignment="1" pivotButton="0" quotePrefix="0" xfId="0">
      <alignment horizontal="center" vertical="top" readingOrder="2"/>
    </xf>
    <xf numFmtId="0" fontId="2" fillId="5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3" fillId="2" borderId="3" applyAlignment="1" pivotButton="0" quotePrefix="0" xfId="0">
      <alignment horizontal="center" vertical="center" readingOrder="2"/>
    </xf>
    <xf numFmtId="0" fontId="3" fillId="2" borderId="4" applyAlignment="1" pivotButton="0" quotePrefix="0" xfId="0">
      <alignment horizontal="center" vertical="center" readingOrder="2"/>
    </xf>
    <xf numFmtId="0" fontId="3" fillId="2" borderId="5" applyAlignment="1" pivotButton="0" quotePrefix="0" xfId="0">
      <alignment horizontal="center" vertical="center" readingOrder="2"/>
    </xf>
    <xf numFmtId="0" fontId="3" fillId="7" borderId="0" applyAlignment="1" pivotButton="0" quotePrefix="0" xfId="0">
      <alignment horizontal="center" vertical="top" readingOrder="2"/>
    </xf>
    <xf numFmtId="0" fontId="0" fillId="0" borderId="4" pivotButton="0" quotePrefix="0" xfId="0"/>
    <xf numFmtId="0" fontId="0" fillId="0" borderId="5" pivotButton="0" quotePrefix="0" xfId="0"/>
  </cellXfs>
  <cellStyles count="2">
    <cellStyle name="Normal" xfId="0" builtinId="0"/>
    <cellStyle name="Pourcentage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externalLink" Target="/xl/externalLinks/externalLink3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jeanb\Documents\2_Jordan\3_Energy%20efficiency\Electricity%202025%20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jeanb\Documents\2_Jordan\3_Energy%20efficiency\Electricity%202024.xlsx" TargetMode="External" Id="rId2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Users\jeanb\Documents\2_Jordan\3_Energy%20efficiency\GIS_ORACLE\2_Jointure_resultat_SQL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IVOT"/>
      <sheetName val="Sheet3"/>
      <sheetName val="الابار"/>
      <sheetName val="Total"/>
    </sheetNames>
    <sheetDataSet>
      <sheetData sheetId="0">
        <row r="4">
          <cell r="B4" t="str">
            <v>026/خزان سماالروسان</v>
          </cell>
          <cell r="C4" t="str">
            <v>شرب</v>
          </cell>
          <cell r="D4">
            <v>18423</v>
          </cell>
        </row>
        <row r="5">
          <cell r="B5" t="str">
            <v>027/بئر حريما رقم 2</v>
          </cell>
          <cell r="C5" t="str">
            <v>شرب</v>
          </cell>
          <cell r="D5">
            <v>624640</v>
          </cell>
        </row>
        <row r="6">
          <cell r="B6" t="str">
            <v>029/محطة حريما</v>
          </cell>
          <cell r="C6" t="str">
            <v>شرب</v>
          </cell>
          <cell r="D6">
            <v>1387920</v>
          </cell>
        </row>
        <row r="7">
          <cell r="B7" t="str">
            <v>036/محطة تنقية دوقره</v>
          </cell>
          <cell r="C7" t="str">
            <v>تنقيه</v>
          </cell>
          <cell r="D7">
            <v>2847000</v>
          </cell>
        </row>
        <row r="8">
          <cell r="B8" t="str">
            <v>037/محطة دوقره</v>
          </cell>
          <cell r="C8" t="str">
            <v>شرب</v>
          </cell>
          <cell r="D8">
            <v>707640</v>
          </cell>
        </row>
        <row r="9">
          <cell r="B9" t="str">
            <v>043/محطة الطيبه</v>
          </cell>
          <cell r="C9" t="str">
            <v>شرب</v>
          </cell>
          <cell r="D9">
            <v>24080</v>
          </cell>
        </row>
        <row r="10">
          <cell r="B10" t="str">
            <v>046/محطة كفريوبا</v>
          </cell>
          <cell r="C10" t="str">
            <v>شرب</v>
          </cell>
          <cell r="D10">
            <v>730500</v>
          </cell>
        </row>
        <row r="11">
          <cell r="B11" t="str">
            <v>048/محطة راحوب</v>
          </cell>
          <cell r="C11" t="str">
            <v>شرب</v>
          </cell>
          <cell r="D11">
            <v>280320</v>
          </cell>
        </row>
        <row r="12">
          <cell r="B12" t="str">
            <v>050/بئر حكما رقم 7</v>
          </cell>
          <cell r="C12" t="str">
            <v>شرب</v>
          </cell>
          <cell r="D12">
            <v>557040</v>
          </cell>
        </row>
        <row r="13">
          <cell r="B13" t="str">
            <v>051/بئر حكما رقم 6</v>
          </cell>
          <cell r="C13" t="str">
            <v>شرب</v>
          </cell>
          <cell r="D13">
            <v>821840</v>
          </cell>
        </row>
        <row r="14">
          <cell r="B14" t="str">
            <v>052/محطة رفع حكما</v>
          </cell>
          <cell r="C14" t="str">
            <v>تنقيه</v>
          </cell>
          <cell r="D14">
            <v>217920</v>
          </cell>
        </row>
        <row r="15">
          <cell r="B15" t="str">
            <v>053/محطة بشرى 1</v>
          </cell>
          <cell r="C15" t="str">
            <v>شرب</v>
          </cell>
          <cell r="D15">
            <v>2902920</v>
          </cell>
        </row>
        <row r="16">
          <cell r="B16" t="str">
            <v>054/محطة تنقية اربد-فوعرا</v>
          </cell>
          <cell r="C16" t="str">
            <v>تنقيه</v>
          </cell>
          <cell r="D16">
            <v>1474000</v>
          </cell>
        </row>
        <row r="17">
          <cell r="B17" t="str">
            <v>056/بئر حكما رقم 5</v>
          </cell>
          <cell r="C17" t="str">
            <v>شرب</v>
          </cell>
          <cell r="D17">
            <v>630640</v>
          </cell>
        </row>
        <row r="18">
          <cell r="B18" t="str">
            <v>057/السكن الوظيفي لموظفي</v>
          </cell>
          <cell r="C18" t="str">
            <v>اداري</v>
          </cell>
          <cell r="D18">
            <v>6593</v>
          </cell>
        </row>
        <row r="19">
          <cell r="B19" t="str">
            <v>057/مبنى قطاع الشمال-مبنى</v>
          </cell>
          <cell r="C19" t="str">
            <v>اداري</v>
          </cell>
          <cell r="D19">
            <v>35426</v>
          </cell>
        </row>
        <row r="20">
          <cell r="B20" t="str">
            <v>057/مبنى قطاع الشمال/الادا</v>
          </cell>
          <cell r="C20" t="str">
            <v>اداري</v>
          </cell>
          <cell r="D20">
            <v>117871</v>
          </cell>
        </row>
        <row r="21">
          <cell r="B21" t="str">
            <v>059/محطة زبده # 3</v>
          </cell>
          <cell r="C21" t="str">
            <v>شرب</v>
          </cell>
          <cell r="D21">
            <v>4222500</v>
          </cell>
        </row>
        <row r="22">
          <cell r="B22" t="str">
            <v>059/محطة زبده # 4</v>
          </cell>
          <cell r="C22" t="str">
            <v>شرب</v>
          </cell>
          <cell r="D22">
            <v>1798400</v>
          </cell>
        </row>
        <row r="23">
          <cell r="B23" t="str">
            <v>059/محطة زبده #1</v>
          </cell>
          <cell r="C23" t="str">
            <v>شرب</v>
          </cell>
          <cell r="D23">
            <v>3966000</v>
          </cell>
        </row>
        <row r="24">
          <cell r="B24" t="str">
            <v>059/محطة زبده #2</v>
          </cell>
          <cell r="C24" t="str">
            <v>شرب</v>
          </cell>
          <cell r="D24">
            <v>2802300</v>
          </cell>
        </row>
        <row r="25">
          <cell r="B25" t="str">
            <v>062/محطة الجحفيه</v>
          </cell>
          <cell r="C25" t="str">
            <v>شرب</v>
          </cell>
          <cell r="D25">
            <v>4340160</v>
          </cell>
        </row>
        <row r="26">
          <cell r="B26" t="str">
            <v>063/محطة حوفا</v>
          </cell>
          <cell r="C26" t="str">
            <v>شرب</v>
          </cell>
          <cell r="D26">
            <v>5304000</v>
          </cell>
        </row>
        <row r="27">
          <cell r="B27" t="str">
            <v>063/محطة مياه فوعرا</v>
          </cell>
          <cell r="C27" t="str">
            <v>شرب</v>
          </cell>
          <cell r="D27">
            <v>132640</v>
          </cell>
        </row>
        <row r="28">
          <cell r="B28" t="str">
            <v>063/مشاغل حوفا</v>
          </cell>
          <cell r="C28" t="str">
            <v>اداري</v>
          </cell>
          <cell r="D28">
            <v>136160</v>
          </cell>
        </row>
        <row r="29">
          <cell r="B29" t="str">
            <v>064/مكتب بني عبيد</v>
          </cell>
          <cell r="C29" t="str">
            <v>اداري</v>
          </cell>
          <cell r="D29">
            <v>34026</v>
          </cell>
        </row>
        <row r="30">
          <cell r="B30" t="str">
            <v>065/محطة الحصن</v>
          </cell>
          <cell r="C30" t="str">
            <v>شرب</v>
          </cell>
          <cell r="D30">
            <v>511000</v>
          </cell>
        </row>
        <row r="31">
          <cell r="B31" t="str">
            <v>066/محطة رفع وادي حسان</v>
          </cell>
          <cell r="C31" t="str">
            <v>تنقيه</v>
          </cell>
          <cell r="D31">
            <v>203880</v>
          </cell>
        </row>
        <row r="32">
          <cell r="B32" t="str">
            <v>067/محطة صمد</v>
          </cell>
          <cell r="C32" t="str">
            <v>شرب</v>
          </cell>
          <cell r="D32">
            <v>4686000</v>
          </cell>
        </row>
        <row r="33">
          <cell r="B33" t="str">
            <v>068/محطة تنقية وادي حسان</v>
          </cell>
          <cell r="C33" t="str">
            <v>تنقيه</v>
          </cell>
          <cell r="D33">
            <v>1359000</v>
          </cell>
        </row>
        <row r="34">
          <cell r="B34" t="str">
            <v>069/محطة النعيمه رقم 2</v>
          </cell>
          <cell r="C34" t="str">
            <v>شرب</v>
          </cell>
          <cell r="D34">
            <v>190860</v>
          </cell>
        </row>
        <row r="35">
          <cell r="B35" t="str">
            <v>070/محطة النعيمه رقم 1</v>
          </cell>
          <cell r="C35" t="str">
            <v>شرب</v>
          </cell>
          <cell r="D35">
            <v>896750</v>
          </cell>
        </row>
        <row r="36">
          <cell r="B36" t="str">
            <v>071/بئر النعيمه رقم 2</v>
          </cell>
          <cell r="C36" t="str">
            <v>شرب</v>
          </cell>
          <cell r="D36">
            <v>208680</v>
          </cell>
        </row>
        <row r="37">
          <cell r="B37" t="str">
            <v>073/بوستر سموع</v>
          </cell>
          <cell r="C37" t="str">
            <v>شرب</v>
          </cell>
          <cell r="D37">
            <v>345040</v>
          </cell>
        </row>
        <row r="38">
          <cell r="B38" t="str">
            <v>075/محطة عيون الحمام 1</v>
          </cell>
          <cell r="C38" t="str">
            <v>شرب</v>
          </cell>
          <cell r="D38">
            <v>515600</v>
          </cell>
        </row>
        <row r="39">
          <cell r="B39" t="str">
            <v>075/محطة عيون الحمام 3</v>
          </cell>
          <cell r="C39" t="str">
            <v>شرب</v>
          </cell>
          <cell r="D39">
            <v>516000</v>
          </cell>
        </row>
        <row r="40">
          <cell r="B40" t="str">
            <v>078/بوستر تبنه</v>
          </cell>
          <cell r="C40" t="str">
            <v>شرب</v>
          </cell>
          <cell r="D40">
            <v>289450</v>
          </cell>
        </row>
        <row r="41">
          <cell r="B41" t="str">
            <v>079/بوستر الاشرفيه</v>
          </cell>
          <cell r="C41" t="str">
            <v>شرب</v>
          </cell>
          <cell r="D41">
            <v>1450200</v>
          </cell>
        </row>
        <row r="42">
          <cell r="B42" t="str">
            <v>082/بئر جديتا رقم 2</v>
          </cell>
          <cell r="C42" t="str">
            <v>شرب</v>
          </cell>
          <cell r="D42">
            <v>254970</v>
          </cell>
        </row>
        <row r="43">
          <cell r="B43" t="str">
            <v>083/محطة جديتا</v>
          </cell>
          <cell r="C43" t="str">
            <v>شرب</v>
          </cell>
          <cell r="D43">
            <v>3129000</v>
          </cell>
        </row>
        <row r="44">
          <cell r="B44" t="str">
            <v>089/محطة تنقية الرمثا</v>
          </cell>
          <cell r="C44" t="str">
            <v>تنقيه</v>
          </cell>
          <cell r="D44">
            <v>2206000</v>
          </cell>
        </row>
        <row r="45">
          <cell r="B45" t="str">
            <v>090/محطة المحاسي</v>
          </cell>
          <cell r="C45" t="str">
            <v>شرب</v>
          </cell>
          <cell r="D45">
            <v>738000</v>
          </cell>
        </row>
        <row r="46">
          <cell r="B46" t="str">
            <v>093/محطة الحدود</v>
          </cell>
          <cell r="C46" t="str">
            <v>شرب</v>
          </cell>
          <cell r="D46">
            <v>1354800</v>
          </cell>
        </row>
        <row r="47">
          <cell r="B47" t="str">
            <v>096/بئر جابر رقم 4</v>
          </cell>
          <cell r="C47" t="str">
            <v>شرب</v>
          </cell>
          <cell r="D47">
            <v>0</v>
          </cell>
        </row>
        <row r="48">
          <cell r="B48" t="str">
            <v>099/بئر جابر رقم 2</v>
          </cell>
          <cell r="C48" t="str">
            <v>شرب</v>
          </cell>
          <cell r="D48">
            <v>0</v>
          </cell>
        </row>
        <row r="49">
          <cell r="B49" t="str">
            <v>1/مشروع مياه الصريح</v>
          </cell>
          <cell r="C49" t="str">
            <v>شرب</v>
          </cell>
          <cell r="D49">
            <v>0</v>
          </cell>
        </row>
        <row r="50">
          <cell r="B50" t="str">
            <v>100/بئر جابر رقم 6</v>
          </cell>
          <cell r="C50" t="str">
            <v>شرب</v>
          </cell>
          <cell r="D50">
            <v>7040</v>
          </cell>
        </row>
        <row r="51">
          <cell r="B51" t="str">
            <v>101/محطة جابر</v>
          </cell>
          <cell r="C51" t="str">
            <v>شرب</v>
          </cell>
          <cell r="D51">
            <v>550320</v>
          </cell>
        </row>
        <row r="52">
          <cell r="B52" t="str">
            <v>104/محطة نبعة عين التنور</v>
          </cell>
          <cell r="C52" t="str">
            <v>شرب</v>
          </cell>
          <cell r="D52">
            <v>1203200</v>
          </cell>
        </row>
        <row r="53">
          <cell r="B53" t="str">
            <v>106/بئر زقيق رقم 2</v>
          </cell>
          <cell r="C53" t="str">
            <v>شرب</v>
          </cell>
          <cell r="D53">
            <v>1351920</v>
          </cell>
        </row>
        <row r="54">
          <cell r="B54" t="str">
            <v>109/بئر عرجان</v>
          </cell>
          <cell r="C54" t="str">
            <v>شرب</v>
          </cell>
          <cell r="D54">
            <v>0</v>
          </cell>
        </row>
        <row r="55">
          <cell r="B55" t="str">
            <v>110/محطة زقيق 2</v>
          </cell>
          <cell r="C55" t="str">
            <v>شرب</v>
          </cell>
          <cell r="D55">
            <v>1824600</v>
          </cell>
        </row>
        <row r="56">
          <cell r="B56" t="str">
            <v>111/محطة زقيق رقم 1</v>
          </cell>
          <cell r="C56" t="str">
            <v>شرب</v>
          </cell>
          <cell r="D56">
            <v>1173120</v>
          </cell>
        </row>
        <row r="57">
          <cell r="B57" t="str">
            <v>113/محطة باعون</v>
          </cell>
          <cell r="C57" t="str">
            <v>شرب</v>
          </cell>
          <cell r="D57">
            <v>1268040</v>
          </cell>
        </row>
        <row r="58">
          <cell r="B58" t="str">
            <v>117/بئر الزقيق رقم 3</v>
          </cell>
          <cell r="C58" t="str">
            <v>شرب</v>
          </cell>
          <cell r="D58">
            <v>1326800</v>
          </cell>
        </row>
        <row r="59">
          <cell r="B59" t="str">
            <v>119/محطة اشتفينا</v>
          </cell>
          <cell r="C59" t="str">
            <v>شرب</v>
          </cell>
          <cell r="D59">
            <v>1378900</v>
          </cell>
        </row>
        <row r="60">
          <cell r="B60" t="str">
            <v>121/محطه زقيق رقم 4</v>
          </cell>
          <cell r="C60" t="str">
            <v>شرب</v>
          </cell>
          <cell r="D60">
            <v>646080</v>
          </cell>
        </row>
        <row r="61">
          <cell r="B61" t="str">
            <v>122/محطة نبعة عين جنا</v>
          </cell>
          <cell r="C61" t="str">
            <v>شرب</v>
          </cell>
          <cell r="D61">
            <v>171350</v>
          </cell>
        </row>
        <row r="62">
          <cell r="B62" t="str">
            <v>122/محطة نبعة عين جنا 1</v>
          </cell>
          <cell r="C62" t="str">
            <v>شرب</v>
          </cell>
          <cell r="D62">
            <v>13978</v>
          </cell>
        </row>
        <row r="63">
          <cell r="B63" t="str">
            <v>125/مبنى عجلون 1</v>
          </cell>
          <cell r="C63" t="str">
            <v>اداري</v>
          </cell>
          <cell r="D63">
            <v>10480</v>
          </cell>
        </row>
        <row r="64">
          <cell r="B64" t="str">
            <v>126/محطة القنطره</v>
          </cell>
          <cell r="C64" t="str">
            <v>شرب</v>
          </cell>
          <cell r="D64">
            <v>1176120</v>
          </cell>
        </row>
        <row r="65">
          <cell r="B65" t="str">
            <v>131/محطة تنقية كفرنجه</v>
          </cell>
          <cell r="C65" t="str">
            <v>تنقيه</v>
          </cell>
          <cell r="D65">
            <v>26640</v>
          </cell>
        </row>
        <row r="66">
          <cell r="B66" t="str">
            <v>136/محطة عين ام قاسم</v>
          </cell>
          <cell r="C66" t="str">
            <v>شرب</v>
          </cell>
          <cell r="D66">
            <v>217560</v>
          </cell>
        </row>
        <row r="67">
          <cell r="B67" t="str">
            <v>142/بئر سوف الغربي</v>
          </cell>
          <cell r="C67" t="str">
            <v>شرب</v>
          </cell>
          <cell r="D67">
            <v>170200</v>
          </cell>
        </row>
        <row r="68">
          <cell r="B68" t="str">
            <v>142/خزان سوف الغربي</v>
          </cell>
          <cell r="C68" t="str">
            <v>شرب</v>
          </cell>
          <cell r="D68">
            <v>16363</v>
          </cell>
        </row>
        <row r="69">
          <cell r="B69" t="str">
            <v>143/بئر سوف الشرقي</v>
          </cell>
          <cell r="C69" t="str">
            <v>شرب</v>
          </cell>
          <cell r="D69">
            <v>0</v>
          </cell>
        </row>
        <row r="70">
          <cell r="B70" t="str">
            <v>150/محطة الشواهد</v>
          </cell>
          <cell r="C70" t="str">
            <v>شرب</v>
          </cell>
          <cell r="D70">
            <v>982080</v>
          </cell>
        </row>
        <row r="71">
          <cell r="B71" t="str">
            <v>154/بئر وادي الدير الشرقي 3</v>
          </cell>
          <cell r="C71" t="str">
            <v>شرب</v>
          </cell>
          <cell r="D71">
            <v>262400</v>
          </cell>
        </row>
        <row r="72">
          <cell r="B72" t="str">
            <v>157/محطة بوستر ساكب 1</v>
          </cell>
          <cell r="C72" t="str">
            <v>شرب</v>
          </cell>
          <cell r="D72">
            <v>273920</v>
          </cell>
        </row>
        <row r="73">
          <cell r="B73" t="str">
            <v>157/محطة بوستر ساكب 2</v>
          </cell>
          <cell r="C73" t="str">
            <v>شرب</v>
          </cell>
          <cell r="D73">
            <v>1427</v>
          </cell>
        </row>
        <row r="74">
          <cell r="B74" t="str">
            <v>158/بئر جرش رقم 4-قسم الحركه</v>
          </cell>
          <cell r="C74" t="str">
            <v>شرب</v>
          </cell>
          <cell r="D74">
            <v>188880</v>
          </cell>
        </row>
        <row r="75">
          <cell r="B75" t="str">
            <v>160/خزان جرش</v>
          </cell>
          <cell r="C75" t="str">
            <v>شرب</v>
          </cell>
          <cell r="D75">
            <v>10100</v>
          </cell>
        </row>
        <row r="76">
          <cell r="B76" t="str">
            <v>162/محطة القيروان 1</v>
          </cell>
          <cell r="C76" t="str">
            <v>شرب</v>
          </cell>
          <cell r="D76">
            <v>14851</v>
          </cell>
        </row>
        <row r="77">
          <cell r="B77" t="str">
            <v>162/محطة القيروان 2</v>
          </cell>
          <cell r="C77" t="str">
            <v>شرب</v>
          </cell>
          <cell r="D77">
            <v>928400</v>
          </cell>
        </row>
        <row r="78">
          <cell r="B78" t="str">
            <v>164/مبنى جرش 1</v>
          </cell>
          <cell r="C78" t="str">
            <v>اداري</v>
          </cell>
          <cell r="D78">
            <v>582</v>
          </cell>
        </row>
        <row r="79">
          <cell r="B79" t="str">
            <v>164/مبنى جرش 2</v>
          </cell>
          <cell r="C79" t="str">
            <v>اداري</v>
          </cell>
          <cell r="D79">
            <v>9</v>
          </cell>
        </row>
        <row r="80">
          <cell r="B80" t="str">
            <v>165/خزان بلدة الكته</v>
          </cell>
          <cell r="C80" t="str">
            <v>شرب</v>
          </cell>
          <cell r="D80">
            <v>1872640</v>
          </cell>
        </row>
        <row r="81">
          <cell r="B81" t="str">
            <v>167/بئر باب عمان</v>
          </cell>
          <cell r="C81" t="str">
            <v>شرب</v>
          </cell>
          <cell r="D81">
            <v>290800</v>
          </cell>
        </row>
        <row r="82">
          <cell r="B82" t="str">
            <v>167/محطة الرياشي</v>
          </cell>
          <cell r="C82" t="str">
            <v>شرب</v>
          </cell>
          <cell r="D82">
            <v>917040</v>
          </cell>
        </row>
        <row r="83">
          <cell r="B83" t="str">
            <v>171/محطة تنقية جرش</v>
          </cell>
          <cell r="C83" t="str">
            <v>تنقيه</v>
          </cell>
          <cell r="D83">
            <v>0</v>
          </cell>
        </row>
        <row r="84">
          <cell r="B84" t="str">
            <v>177/بئر الصفاصفه</v>
          </cell>
          <cell r="C84" t="str">
            <v>شرب</v>
          </cell>
          <cell r="D84">
            <v>126160</v>
          </cell>
        </row>
        <row r="85">
          <cell r="B85" t="str">
            <v>179/بئر دبين</v>
          </cell>
          <cell r="C85" t="str">
            <v>شرب</v>
          </cell>
          <cell r="D85">
            <v>12160</v>
          </cell>
        </row>
        <row r="86">
          <cell r="B86" t="str">
            <v>180/خزان برما</v>
          </cell>
          <cell r="C86" t="str">
            <v>شرب</v>
          </cell>
          <cell r="D86">
            <v>4707</v>
          </cell>
        </row>
        <row r="87">
          <cell r="B87" t="str">
            <v>181/محطة الدقمسه</v>
          </cell>
          <cell r="C87" t="str">
            <v>شرب</v>
          </cell>
          <cell r="D87">
            <v>386720</v>
          </cell>
        </row>
        <row r="88">
          <cell r="B88" t="str">
            <v>186/خزان البويضه الغربيه</v>
          </cell>
          <cell r="C88" t="str">
            <v>شرب</v>
          </cell>
          <cell r="D88">
            <v>1151400</v>
          </cell>
        </row>
        <row r="89">
          <cell r="B89" t="str">
            <v>189/محطة ام اللولو 1</v>
          </cell>
          <cell r="C89" t="str">
            <v>شرب</v>
          </cell>
          <cell r="D89">
            <v>80</v>
          </cell>
        </row>
        <row r="90">
          <cell r="B90" t="str">
            <v>189/محطة ام اللولو 2</v>
          </cell>
          <cell r="C90" t="str">
            <v>شرب</v>
          </cell>
          <cell r="D90">
            <v>4329000</v>
          </cell>
        </row>
        <row r="91">
          <cell r="B91" t="str">
            <v>191/بوستر حوشا</v>
          </cell>
          <cell r="C91" t="str">
            <v>شرب</v>
          </cell>
          <cell r="D91">
            <v>224010</v>
          </cell>
        </row>
        <row r="92">
          <cell r="B92" t="str">
            <v>193/محطة الزنيه</v>
          </cell>
          <cell r="C92" t="str">
            <v>شرب</v>
          </cell>
          <cell r="D92">
            <v>2408100</v>
          </cell>
        </row>
        <row r="93">
          <cell r="B93" t="str">
            <v>196/بئر الزنيه رقم 3</v>
          </cell>
          <cell r="C93" t="str">
            <v>شرب</v>
          </cell>
          <cell r="D93">
            <v>453120</v>
          </cell>
        </row>
        <row r="94">
          <cell r="B94" t="str">
            <v>197/بئر الزنيه رقم 4</v>
          </cell>
          <cell r="C94" t="str">
            <v>شرب</v>
          </cell>
          <cell r="D94">
            <v>56480</v>
          </cell>
        </row>
        <row r="95">
          <cell r="B95" t="str">
            <v>2/مشروع مياه الصريح</v>
          </cell>
          <cell r="C95" t="str">
            <v>شرب</v>
          </cell>
          <cell r="D95">
            <v>0</v>
          </cell>
        </row>
        <row r="96">
          <cell r="B96" t="str">
            <v>200/بئر الزنيه رقم 5</v>
          </cell>
          <cell r="C96" t="str">
            <v>شرب</v>
          </cell>
          <cell r="D96">
            <v>1760</v>
          </cell>
        </row>
        <row r="97">
          <cell r="B97" t="str">
            <v>201/محطة السويلمه</v>
          </cell>
          <cell r="C97" t="str">
            <v>شرب</v>
          </cell>
          <cell r="D97">
            <v>1356000</v>
          </cell>
        </row>
        <row r="98">
          <cell r="B98" t="str">
            <v>204/بئر حدود جابر</v>
          </cell>
          <cell r="C98" t="str">
            <v>شرب</v>
          </cell>
          <cell r="D98">
            <v>22800</v>
          </cell>
        </row>
        <row r="99">
          <cell r="B99" t="str">
            <v>205/بئر بلدة جابر السرحان</v>
          </cell>
          <cell r="C99" t="str">
            <v>شرب</v>
          </cell>
          <cell r="D99">
            <v>712960</v>
          </cell>
        </row>
        <row r="100">
          <cell r="B100" t="str">
            <v>207/بوستر حيان</v>
          </cell>
          <cell r="C100" t="str">
            <v>شرب</v>
          </cell>
          <cell r="D100">
            <v>1809120</v>
          </cell>
        </row>
        <row r="101">
          <cell r="B101" t="str">
            <v>207/مبنى المفرق 1</v>
          </cell>
          <cell r="C101" t="str">
            <v>اداري</v>
          </cell>
          <cell r="D101">
            <v>59770</v>
          </cell>
        </row>
        <row r="102">
          <cell r="B102" t="str">
            <v>207/مبنى المفرق 2</v>
          </cell>
          <cell r="C102" t="str">
            <v>اداري</v>
          </cell>
          <cell r="D102">
            <v>12690</v>
          </cell>
        </row>
        <row r="103">
          <cell r="B103" t="str">
            <v>208/محطة سميا</v>
          </cell>
          <cell r="C103" t="str">
            <v>شرب</v>
          </cell>
          <cell r="D103">
            <v>5472000</v>
          </cell>
        </row>
        <row r="104">
          <cell r="B104" t="str">
            <v>212/بئر سميا رقم 6</v>
          </cell>
          <cell r="C104" t="str">
            <v>شرب</v>
          </cell>
          <cell r="D104">
            <v>400</v>
          </cell>
        </row>
        <row r="105">
          <cell r="B105" t="str">
            <v>213/بئر سميا رقم 5</v>
          </cell>
          <cell r="C105" t="str">
            <v>شرب</v>
          </cell>
          <cell r="D105">
            <v>0</v>
          </cell>
        </row>
        <row r="106">
          <cell r="B106" t="str">
            <v>214/بئر سميا رقم 3</v>
          </cell>
          <cell r="C106" t="str">
            <v>شرب</v>
          </cell>
          <cell r="D106">
            <v>395520</v>
          </cell>
        </row>
        <row r="107">
          <cell r="B107" t="str">
            <v>216/بئر سميا رقم 4</v>
          </cell>
          <cell r="C107" t="str">
            <v>شرب</v>
          </cell>
          <cell r="D107">
            <v>286880</v>
          </cell>
        </row>
        <row r="108">
          <cell r="B108" t="str">
            <v>217/بئر سميا رقم 9</v>
          </cell>
          <cell r="C108" t="str">
            <v>شرب</v>
          </cell>
          <cell r="D108">
            <v>50960</v>
          </cell>
        </row>
        <row r="109">
          <cell r="B109" t="str">
            <v>218/بئر سميا رقم 8</v>
          </cell>
          <cell r="C109" t="str">
            <v>شرب</v>
          </cell>
          <cell r="D109">
            <v>194560</v>
          </cell>
        </row>
        <row r="110">
          <cell r="B110" t="str">
            <v>221/مكتب صيانة الخالديه 1</v>
          </cell>
          <cell r="C110" t="str">
            <v>اداري</v>
          </cell>
          <cell r="D110">
            <v>4546</v>
          </cell>
        </row>
        <row r="111">
          <cell r="B111" t="str">
            <v>222/محطة الخالديه 1</v>
          </cell>
          <cell r="C111" t="str">
            <v>شرب</v>
          </cell>
          <cell r="D111">
            <v>2093120</v>
          </cell>
        </row>
        <row r="112">
          <cell r="B112" t="str">
            <v>223/بئر الزعتري رقم 5</v>
          </cell>
          <cell r="C112" t="str">
            <v>شرب</v>
          </cell>
          <cell r="D112">
            <v>0</v>
          </cell>
        </row>
        <row r="113">
          <cell r="B113" t="str">
            <v>224/بئر الزعتري رقم 7</v>
          </cell>
          <cell r="C113" t="str">
            <v>شرب</v>
          </cell>
          <cell r="D113">
            <v>10320</v>
          </cell>
        </row>
        <row r="114">
          <cell r="B114" t="str">
            <v>225/بئر الزعتري رقم 4</v>
          </cell>
          <cell r="C114" t="str">
            <v>شرب</v>
          </cell>
          <cell r="D114">
            <v>560</v>
          </cell>
        </row>
        <row r="115">
          <cell r="B115" t="str">
            <v>226/بئر الزعتري رقم 9</v>
          </cell>
          <cell r="C115" t="str">
            <v>شرب</v>
          </cell>
          <cell r="D115">
            <v>6320</v>
          </cell>
        </row>
        <row r="116">
          <cell r="B116" t="str">
            <v>228/بئر الزعتري رقم 3</v>
          </cell>
          <cell r="C116" t="str">
            <v>شرب</v>
          </cell>
          <cell r="D116">
            <v>4560</v>
          </cell>
        </row>
        <row r="117">
          <cell r="B117" t="str">
            <v>229/محطة الزعتري 3</v>
          </cell>
          <cell r="C117" t="str">
            <v>شرب</v>
          </cell>
          <cell r="D117">
            <v>0</v>
          </cell>
        </row>
        <row r="118">
          <cell r="B118" t="str">
            <v>229/محطة الزعتري 4</v>
          </cell>
          <cell r="C118" t="str">
            <v>شرب</v>
          </cell>
          <cell r="D118">
            <v>25600</v>
          </cell>
        </row>
        <row r="119">
          <cell r="B119" t="str">
            <v>229/محطة الزعتري 5</v>
          </cell>
          <cell r="C119" t="str">
            <v>شرب</v>
          </cell>
          <cell r="D119">
            <v>0</v>
          </cell>
        </row>
        <row r="120">
          <cell r="B120" t="str">
            <v>229/محطة الزعتري 6</v>
          </cell>
          <cell r="C120" t="str">
            <v>شرب</v>
          </cell>
          <cell r="D120">
            <v>1581760</v>
          </cell>
        </row>
        <row r="121">
          <cell r="B121" t="str">
            <v>229/محطة الزعتري 7</v>
          </cell>
          <cell r="C121" t="str">
            <v>شرب</v>
          </cell>
          <cell r="D121">
            <v>2560</v>
          </cell>
        </row>
        <row r="122">
          <cell r="B122" t="str">
            <v>230/بئر الزعتري  رقم 6</v>
          </cell>
          <cell r="C122" t="str">
            <v>شرب</v>
          </cell>
          <cell r="D122">
            <v>7280</v>
          </cell>
        </row>
        <row r="123">
          <cell r="B123" t="str">
            <v>233/بئر الزعتري رقم 10</v>
          </cell>
          <cell r="C123" t="str">
            <v>شرب</v>
          </cell>
          <cell r="D123">
            <v>15840</v>
          </cell>
        </row>
        <row r="124">
          <cell r="B124" t="str">
            <v>234/محطة ام السرب</v>
          </cell>
          <cell r="C124" t="str">
            <v>شرب</v>
          </cell>
          <cell r="D124">
            <v>1218360</v>
          </cell>
        </row>
        <row r="125">
          <cell r="B125" t="str">
            <v>240/بئر روضة الاميره بسمه</v>
          </cell>
          <cell r="C125" t="str">
            <v>شرب</v>
          </cell>
          <cell r="D125">
            <v>1842600</v>
          </cell>
        </row>
        <row r="126">
          <cell r="B126" t="str">
            <v>241/محطة ام الجمال</v>
          </cell>
          <cell r="C126" t="str">
            <v>شرب</v>
          </cell>
          <cell r="D126">
            <v>6560</v>
          </cell>
        </row>
        <row r="127">
          <cell r="B127" t="str">
            <v>242/بئر العاقب ك 90</v>
          </cell>
          <cell r="C127" t="str">
            <v>شرب</v>
          </cell>
          <cell r="D127">
            <v>13600</v>
          </cell>
        </row>
        <row r="128">
          <cell r="B128" t="str">
            <v>244/بئر العاقب ك 91.5</v>
          </cell>
          <cell r="C128" t="str">
            <v>شرب</v>
          </cell>
          <cell r="D128">
            <v>752400</v>
          </cell>
        </row>
        <row r="129">
          <cell r="B129" t="str">
            <v>245/بئر العاقب ك 94</v>
          </cell>
          <cell r="C129" t="str">
            <v>شرب</v>
          </cell>
          <cell r="D129">
            <v>3040</v>
          </cell>
        </row>
        <row r="130">
          <cell r="B130" t="str">
            <v>246/بئر الكوم الاحمر الجديد</v>
          </cell>
          <cell r="C130" t="str">
            <v>شرب</v>
          </cell>
          <cell r="D130">
            <v>681440</v>
          </cell>
        </row>
        <row r="131">
          <cell r="B131" t="str">
            <v>247/بئر العاقب ك 93</v>
          </cell>
          <cell r="C131" t="str">
            <v>شرب</v>
          </cell>
          <cell r="D131">
            <v>1340000</v>
          </cell>
        </row>
        <row r="132">
          <cell r="B132" t="str">
            <v>248/بئر العاقب ك 93.5</v>
          </cell>
          <cell r="C132" t="str">
            <v>شرب</v>
          </cell>
          <cell r="D132">
            <v>621520</v>
          </cell>
        </row>
        <row r="133">
          <cell r="B133" t="str">
            <v>249/بئر العاقب ك 94.5</v>
          </cell>
          <cell r="C133" t="str">
            <v>شرب</v>
          </cell>
          <cell r="D133">
            <v>6480</v>
          </cell>
        </row>
        <row r="134">
          <cell r="B134" t="str">
            <v>250/بئر العاقب ك 95</v>
          </cell>
          <cell r="C134" t="str">
            <v>شرب</v>
          </cell>
          <cell r="D134">
            <v>791760</v>
          </cell>
        </row>
        <row r="135">
          <cell r="B135" t="str">
            <v>251/بئر العاقب ك 96</v>
          </cell>
          <cell r="C135" t="str">
            <v>شرب</v>
          </cell>
          <cell r="D135">
            <v>296280</v>
          </cell>
        </row>
        <row r="136">
          <cell r="B136" t="str">
            <v>252/محطة عمره و عميره</v>
          </cell>
          <cell r="C136" t="str">
            <v>شرب</v>
          </cell>
          <cell r="D136">
            <v>1442400</v>
          </cell>
        </row>
        <row r="137">
          <cell r="B137" t="str">
            <v>256/بئر العاقب ك 101</v>
          </cell>
          <cell r="C137" t="str">
            <v>شرب</v>
          </cell>
          <cell r="D137">
            <v>1600</v>
          </cell>
        </row>
        <row r="138">
          <cell r="B138" t="str">
            <v>257/محطة صبحا و صبحيه</v>
          </cell>
          <cell r="C138" t="str">
            <v>شرب</v>
          </cell>
          <cell r="D138">
            <v>326080</v>
          </cell>
        </row>
        <row r="139">
          <cell r="B139" t="str">
            <v>258/بئر العاقب ك 102</v>
          </cell>
          <cell r="C139" t="str">
            <v>شرب</v>
          </cell>
          <cell r="D139">
            <v>735200</v>
          </cell>
        </row>
        <row r="140">
          <cell r="B140" t="str">
            <v>261/بئر العاقب -الكيلو 102.5 أ</v>
          </cell>
          <cell r="C140" t="str">
            <v>شرب</v>
          </cell>
          <cell r="D140">
            <v>829760</v>
          </cell>
        </row>
        <row r="141">
          <cell r="B141" t="str">
            <v>262/بئر العاقب ك 103</v>
          </cell>
          <cell r="C141" t="str">
            <v>شرب</v>
          </cell>
          <cell r="D141">
            <v>391040</v>
          </cell>
        </row>
        <row r="142">
          <cell r="B142" t="str">
            <v>263/بئر العاقب ك 104</v>
          </cell>
          <cell r="C142" t="str">
            <v>شرب</v>
          </cell>
          <cell r="D142">
            <v>281520</v>
          </cell>
        </row>
        <row r="143">
          <cell r="B143" t="str">
            <v>264/بئر العاقب ك 106</v>
          </cell>
          <cell r="C143" t="str">
            <v>شرب</v>
          </cell>
          <cell r="D143">
            <v>718560</v>
          </cell>
        </row>
        <row r="144">
          <cell r="B144" t="str">
            <v>266/بئر العاقب ك 107</v>
          </cell>
          <cell r="C144" t="str">
            <v>شرب</v>
          </cell>
          <cell r="D144">
            <v>0</v>
          </cell>
        </row>
        <row r="145">
          <cell r="B145" t="str">
            <v>267/بئر العاقب ك 109</v>
          </cell>
          <cell r="C145" t="str">
            <v>شرب</v>
          </cell>
          <cell r="D145">
            <v>850680</v>
          </cell>
        </row>
        <row r="146">
          <cell r="B146" t="str">
            <v>269/بئر العاقب ك 110</v>
          </cell>
          <cell r="C146" t="str">
            <v>شرب</v>
          </cell>
          <cell r="D146">
            <v>17200</v>
          </cell>
        </row>
        <row r="147">
          <cell r="B147" t="str">
            <v>270/بئر العاقب -الكيلو 111 أ</v>
          </cell>
          <cell r="C147" t="str">
            <v>شرب</v>
          </cell>
          <cell r="D147">
            <v>210400</v>
          </cell>
        </row>
        <row r="148">
          <cell r="B148" t="str">
            <v>270/بئر العاقب -الكيلو 111 ب</v>
          </cell>
          <cell r="C148" t="str">
            <v>شرب</v>
          </cell>
          <cell r="D148">
            <v>0</v>
          </cell>
        </row>
        <row r="149">
          <cell r="B149" t="str">
            <v>271/بئر العاقب ك 112</v>
          </cell>
          <cell r="C149" t="str">
            <v>شرب</v>
          </cell>
          <cell r="D149">
            <v>1073840</v>
          </cell>
        </row>
        <row r="150">
          <cell r="B150" t="str">
            <v>272/بئر العاقب ك 114</v>
          </cell>
          <cell r="C150" t="str">
            <v>شرب</v>
          </cell>
          <cell r="D150">
            <v>849600</v>
          </cell>
        </row>
        <row r="151">
          <cell r="B151" t="str">
            <v>273/محطة مكيفته</v>
          </cell>
          <cell r="C151" t="str">
            <v>شرب</v>
          </cell>
          <cell r="D151">
            <v>2484000</v>
          </cell>
        </row>
        <row r="152">
          <cell r="B152" t="str">
            <v>274/بئر ك 124</v>
          </cell>
          <cell r="C152" t="str">
            <v>شرب</v>
          </cell>
          <cell r="D152">
            <v>1062360</v>
          </cell>
        </row>
        <row r="153">
          <cell r="B153" t="str">
            <v>275/محطة لرفاعيات</v>
          </cell>
          <cell r="C153" t="str">
            <v>شرب</v>
          </cell>
          <cell r="D153">
            <v>726640</v>
          </cell>
        </row>
        <row r="154">
          <cell r="B154" t="str">
            <v>278/بئر ك 134</v>
          </cell>
          <cell r="C154" t="str">
            <v>شرب</v>
          </cell>
          <cell r="D154">
            <v>466560</v>
          </cell>
        </row>
        <row r="155">
          <cell r="B155" t="str">
            <v>279/محطة ك 134(البشري)</v>
          </cell>
          <cell r="C155" t="str">
            <v>شرب</v>
          </cell>
          <cell r="D155">
            <v>1118600</v>
          </cell>
        </row>
        <row r="156">
          <cell r="B156" t="str">
            <v>280/بئر ك 136</v>
          </cell>
          <cell r="C156" t="str">
            <v>شرب</v>
          </cell>
          <cell r="D156">
            <v>714720</v>
          </cell>
        </row>
        <row r="157">
          <cell r="B157" t="str">
            <v>281/محطة دير الكهف</v>
          </cell>
          <cell r="C157" t="str">
            <v>شرب</v>
          </cell>
          <cell r="D157">
            <v>649680</v>
          </cell>
        </row>
        <row r="158">
          <cell r="B158" t="str">
            <v>282/بئر ك 140</v>
          </cell>
          <cell r="C158" t="str">
            <v>شرب</v>
          </cell>
          <cell r="D158">
            <v>532000</v>
          </cell>
        </row>
        <row r="159">
          <cell r="B159" t="str">
            <v>302/بئر الخالديه رقم 30</v>
          </cell>
          <cell r="C159" t="str">
            <v>شرب</v>
          </cell>
          <cell r="D159">
            <v>15440</v>
          </cell>
        </row>
        <row r="160">
          <cell r="B160" t="str">
            <v>321/مبنى قصبة اربد 1</v>
          </cell>
          <cell r="C160" t="str">
            <v>اداري</v>
          </cell>
          <cell r="D160">
            <v>5052</v>
          </cell>
        </row>
        <row r="161">
          <cell r="B161" t="str">
            <v>321/مبنى قصبة اربد 2</v>
          </cell>
          <cell r="C161" t="str">
            <v>اداري</v>
          </cell>
          <cell r="D161">
            <v>68136</v>
          </cell>
        </row>
        <row r="162">
          <cell r="B162" t="str">
            <v>321/مبنى قصبة اربد 3</v>
          </cell>
          <cell r="C162" t="str">
            <v>اداري</v>
          </cell>
          <cell r="D162">
            <v>2448</v>
          </cell>
        </row>
        <row r="163">
          <cell r="B163" t="str">
            <v>321/مبنى قصبة اربد 4</v>
          </cell>
          <cell r="C163" t="str">
            <v>اداري</v>
          </cell>
          <cell r="D163">
            <v>531</v>
          </cell>
        </row>
        <row r="164">
          <cell r="B164" t="str">
            <v>321/مبنى قصبة اربد 5</v>
          </cell>
          <cell r="C164" t="str">
            <v>اداري</v>
          </cell>
          <cell r="D164">
            <v>4219</v>
          </cell>
        </row>
        <row r="165">
          <cell r="B165" t="str">
            <v>321/مبنى قصبة اربد 6</v>
          </cell>
          <cell r="C165" t="str">
            <v>اداري</v>
          </cell>
          <cell r="D165">
            <v>2982</v>
          </cell>
        </row>
        <row r="166">
          <cell r="B166" t="str">
            <v>321/مبنى قصبة اربد 7</v>
          </cell>
          <cell r="C166" t="str">
            <v>اداري</v>
          </cell>
          <cell r="D166">
            <v>14194</v>
          </cell>
        </row>
        <row r="167">
          <cell r="B167" t="str">
            <v>324/محطة رفع مخيم الحصن</v>
          </cell>
          <cell r="C167" t="str">
            <v>تنقيه</v>
          </cell>
          <cell r="D167">
            <v>147120</v>
          </cell>
        </row>
        <row r="168">
          <cell r="B168" t="str">
            <v>76 / مبنى الكورة</v>
          </cell>
          <cell r="C168" t="str">
            <v>اداري</v>
          </cell>
          <cell r="D168">
            <v>0</v>
          </cell>
        </row>
        <row r="169">
          <cell r="B169" t="str">
            <v>INTAKE / المأخذ المحول رقم 1</v>
          </cell>
          <cell r="C169" t="str">
            <v>شرب</v>
          </cell>
          <cell r="D169">
            <v>1637945</v>
          </cell>
        </row>
        <row r="170">
          <cell r="B170" t="str">
            <v>INTAKE / المأخذ المحول رقم 2</v>
          </cell>
          <cell r="C170" t="str">
            <v>شرب</v>
          </cell>
          <cell r="D170">
            <v>0</v>
          </cell>
        </row>
        <row r="171">
          <cell r="B171" t="str">
            <v>PS0/المنشية المحول المساعد</v>
          </cell>
          <cell r="C171" t="str">
            <v>شرب</v>
          </cell>
          <cell r="D171">
            <v>41377</v>
          </cell>
        </row>
        <row r="172">
          <cell r="B172" t="str">
            <v>PS0/المنشية المحول رقم 1</v>
          </cell>
          <cell r="C172" t="str">
            <v>شرب</v>
          </cell>
          <cell r="D172">
            <v>8800180</v>
          </cell>
        </row>
        <row r="173">
          <cell r="B173" t="str">
            <v>PS0/المنشية المحول رقم 2</v>
          </cell>
          <cell r="C173" t="str">
            <v>شرب</v>
          </cell>
          <cell r="D173">
            <v>3952247</v>
          </cell>
        </row>
        <row r="174">
          <cell r="B174" t="str">
            <v>PS1/طريق البترول المحول المساعد</v>
          </cell>
          <cell r="C174" t="str">
            <v>شرب</v>
          </cell>
          <cell r="D174">
            <v>22501</v>
          </cell>
        </row>
        <row r="175">
          <cell r="B175" t="str">
            <v>PS1/طريق البترول المحول رقم 1</v>
          </cell>
          <cell r="C175" t="str">
            <v>شرب</v>
          </cell>
          <cell r="D175">
            <v>9942300</v>
          </cell>
        </row>
        <row r="176">
          <cell r="B176" t="str">
            <v>PS1/طريق البترول المحول رقم 2</v>
          </cell>
          <cell r="C176" t="str">
            <v>شرب</v>
          </cell>
          <cell r="D176">
            <v>31320</v>
          </cell>
        </row>
        <row r="177">
          <cell r="B177" t="str">
            <v>PS2/ مخربا المحول المساعد</v>
          </cell>
          <cell r="C177" t="str">
            <v>شرب</v>
          </cell>
          <cell r="D177">
            <v>24459</v>
          </cell>
        </row>
        <row r="178">
          <cell r="B178" t="str">
            <v>PS2/ مخربا المحول رقم 1</v>
          </cell>
          <cell r="C178" t="str">
            <v>شرب</v>
          </cell>
          <cell r="D178">
            <v>0</v>
          </cell>
        </row>
        <row r="179">
          <cell r="B179" t="str">
            <v>PS2/ مخربا المحول رقم 2</v>
          </cell>
          <cell r="C179" t="str">
            <v>شرب</v>
          </cell>
          <cell r="D179">
            <v>16831468</v>
          </cell>
        </row>
        <row r="180">
          <cell r="B180" t="str">
            <v>PS3/دير السعنة المحول المساعد</v>
          </cell>
          <cell r="C180" t="str">
            <v>شرب</v>
          </cell>
          <cell r="D180">
            <v>17765</v>
          </cell>
        </row>
        <row r="181">
          <cell r="B181" t="str">
            <v>PS3/دير السعنة المحول رقم 1</v>
          </cell>
          <cell r="C181" t="str">
            <v>شرب</v>
          </cell>
          <cell r="D181">
            <v>84</v>
          </cell>
        </row>
        <row r="182">
          <cell r="B182" t="str">
            <v>PS3/دير السعنة المحول رقم 2</v>
          </cell>
          <cell r="C182" t="str">
            <v>شرب</v>
          </cell>
          <cell r="D182">
            <v>17383841</v>
          </cell>
        </row>
        <row r="183">
          <cell r="B183" t="str">
            <v>ابار الكرادور/12</v>
          </cell>
          <cell r="C183" t="str">
            <v>شرب</v>
          </cell>
          <cell r="D183">
            <v>624720</v>
          </cell>
        </row>
        <row r="184">
          <cell r="B184" t="str">
            <v>ابار الكرادور/13</v>
          </cell>
          <cell r="C184" t="str">
            <v>شرب</v>
          </cell>
          <cell r="D184">
            <v>479120</v>
          </cell>
        </row>
        <row r="185">
          <cell r="B185" t="str">
            <v>ابار الكرادور/15</v>
          </cell>
          <cell r="C185" t="str">
            <v>شرب</v>
          </cell>
          <cell r="D185">
            <v>351840</v>
          </cell>
        </row>
        <row r="186">
          <cell r="B186" t="str">
            <v>ابار المجر</v>
          </cell>
          <cell r="C186" t="str">
            <v>شرب</v>
          </cell>
          <cell r="D186">
            <v>107600</v>
          </cell>
        </row>
        <row r="187">
          <cell r="B187" t="str">
            <v>الحفره التجميعيه مياه اليرموك</v>
          </cell>
          <cell r="C187" t="str">
            <v>تنقيه</v>
          </cell>
          <cell r="D187">
            <v>7173</v>
          </cell>
        </row>
        <row r="188">
          <cell r="B188" t="str">
            <v>بير ماء بيت ايدس</v>
          </cell>
          <cell r="C188" t="str">
            <v>شرب</v>
          </cell>
          <cell r="D188">
            <v>686480</v>
          </cell>
        </row>
        <row r="189">
          <cell r="B189" t="str">
            <v>بئر ابو البصل /1</v>
          </cell>
          <cell r="C189" t="str">
            <v>شرب</v>
          </cell>
          <cell r="D189">
            <v>8320</v>
          </cell>
        </row>
        <row r="190">
          <cell r="B190" t="str">
            <v>بئر ابو البصل /2</v>
          </cell>
          <cell r="C190" t="str">
            <v>شرب</v>
          </cell>
          <cell r="D190">
            <v>512280</v>
          </cell>
        </row>
        <row r="191">
          <cell r="B191" t="str">
            <v>بئر ابو البصل 3</v>
          </cell>
          <cell r="C191" t="str">
            <v>شرب</v>
          </cell>
          <cell r="D191">
            <v>245920</v>
          </cell>
        </row>
        <row r="192">
          <cell r="B192" t="str">
            <v>بئر اسعره</v>
          </cell>
          <cell r="C192" t="str">
            <v>شرب</v>
          </cell>
          <cell r="D192">
            <v>53520</v>
          </cell>
        </row>
        <row r="193">
          <cell r="B193" t="str">
            <v>بئر الباديه الشماليه/ك117</v>
          </cell>
          <cell r="C193" t="str">
            <v>شرب</v>
          </cell>
          <cell r="D193">
            <v>1040400</v>
          </cell>
        </row>
        <row r="194">
          <cell r="B194" t="str">
            <v>بئر الباعج</v>
          </cell>
          <cell r="C194" t="str">
            <v>شرب</v>
          </cell>
          <cell r="D194">
            <v>318160</v>
          </cell>
        </row>
        <row r="195">
          <cell r="B195" t="str">
            <v>بئر الباعج 4</v>
          </cell>
          <cell r="C195" t="str">
            <v>شرب</v>
          </cell>
          <cell r="D195">
            <v>264000</v>
          </cell>
        </row>
        <row r="196">
          <cell r="B196" t="str">
            <v>بئر البستانه 103</v>
          </cell>
          <cell r="C196" t="str">
            <v>شرب</v>
          </cell>
          <cell r="D196">
            <v>339600</v>
          </cell>
        </row>
        <row r="197">
          <cell r="B197" t="str">
            <v>بئر الزبيدية 4</v>
          </cell>
          <cell r="C197" t="str">
            <v>شرب</v>
          </cell>
          <cell r="D197">
            <v>124720</v>
          </cell>
        </row>
        <row r="198">
          <cell r="B198" t="str">
            <v>بئر الزنية رقم/6</v>
          </cell>
          <cell r="C198" t="str">
            <v>شرب</v>
          </cell>
          <cell r="D198">
            <v>1600</v>
          </cell>
        </row>
        <row r="199">
          <cell r="B199" t="str">
            <v>بئر الصفاوي</v>
          </cell>
          <cell r="C199" t="str">
            <v>شرب</v>
          </cell>
          <cell r="D199">
            <v>1680</v>
          </cell>
        </row>
        <row r="200">
          <cell r="B200" t="str">
            <v>بئر العاقب 111.5 ك</v>
          </cell>
          <cell r="C200" t="str">
            <v>شرب</v>
          </cell>
          <cell r="D200">
            <v>1200</v>
          </cell>
        </row>
        <row r="201">
          <cell r="B201" t="str">
            <v>بئر العاقب 118</v>
          </cell>
          <cell r="C201" t="str">
            <v>شرب</v>
          </cell>
          <cell r="D201">
            <v>1702440</v>
          </cell>
        </row>
        <row r="202">
          <cell r="B202" t="str">
            <v>بئر العاقب 125 ك</v>
          </cell>
          <cell r="C202" t="str">
            <v>شرب</v>
          </cell>
          <cell r="D202">
            <v>592500</v>
          </cell>
        </row>
        <row r="203">
          <cell r="B203" t="str">
            <v>بئر العاقب 126</v>
          </cell>
          <cell r="C203" t="str">
            <v>شرب</v>
          </cell>
          <cell r="D203">
            <v>169680</v>
          </cell>
        </row>
        <row r="204">
          <cell r="B204" t="str">
            <v>بئر العاقب ك 106</v>
          </cell>
          <cell r="C204" t="str">
            <v>شرب</v>
          </cell>
          <cell r="D204">
            <v>1600</v>
          </cell>
        </row>
        <row r="205">
          <cell r="B205" t="str">
            <v>بئر العاقب ك 110</v>
          </cell>
          <cell r="C205" t="str">
            <v>شرب</v>
          </cell>
          <cell r="D205">
            <v>137680</v>
          </cell>
        </row>
        <row r="206">
          <cell r="B206" t="str">
            <v>بئر العاقب ك 116</v>
          </cell>
          <cell r="C206" t="str">
            <v>شرب</v>
          </cell>
          <cell r="D206">
            <v>1000080</v>
          </cell>
        </row>
        <row r="207">
          <cell r="B207" t="str">
            <v>بئر العاقب ك 133</v>
          </cell>
          <cell r="C207" t="str">
            <v>شرب</v>
          </cell>
          <cell r="D207">
            <v>1242120</v>
          </cell>
        </row>
        <row r="208">
          <cell r="B208" t="str">
            <v>بئر العاقب108.5 ك</v>
          </cell>
          <cell r="C208" t="str">
            <v>شرب</v>
          </cell>
          <cell r="D208">
            <v>973560</v>
          </cell>
        </row>
        <row r="209">
          <cell r="B209" t="str">
            <v>بئر العاقب119</v>
          </cell>
          <cell r="C209" t="str">
            <v>شرب</v>
          </cell>
          <cell r="D209">
            <v>9600</v>
          </cell>
        </row>
        <row r="210">
          <cell r="B210" t="str">
            <v>بئر الكرادور /4</v>
          </cell>
          <cell r="C210" t="str">
            <v>شرب</v>
          </cell>
          <cell r="D210">
            <v>775760</v>
          </cell>
        </row>
        <row r="211">
          <cell r="B211" t="str">
            <v>بئر الكردور/4</v>
          </cell>
          <cell r="C211" t="str">
            <v>شرب</v>
          </cell>
          <cell r="D211">
            <v>518960</v>
          </cell>
        </row>
        <row r="212">
          <cell r="B212" t="str">
            <v>بئر المخيبه الجديد</v>
          </cell>
          <cell r="C212" t="str">
            <v>شرب</v>
          </cell>
          <cell r="D212">
            <v>522120</v>
          </cell>
        </row>
        <row r="213">
          <cell r="B213" t="str">
            <v>بئر المفردات</v>
          </cell>
          <cell r="C213" t="str">
            <v>شرب</v>
          </cell>
          <cell r="D213">
            <v>208880</v>
          </cell>
        </row>
        <row r="214">
          <cell r="B214" t="str">
            <v>بئر المنطقة الاقتصادية /2</v>
          </cell>
          <cell r="C214" t="str">
            <v>شرب</v>
          </cell>
          <cell r="D214">
            <v>22720</v>
          </cell>
        </row>
        <row r="215">
          <cell r="B215" t="str">
            <v>بئر المنطقة الاقتصادية/1</v>
          </cell>
          <cell r="C215" t="str">
            <v>شرب</v>
          </cell>
          <cell r="D215">
            <v>16080</v>
          </cell>
        </row>
        <row r="216">
          <cell r="B216" t="str">
            <v>بئر النعيمه  5</v>
          </cell>
          <cell r="C216" t="str">
            <v>شرب</v>
          </cell>
          <cell r="D216">
            <v>500880</v>
          </cell>
        </row>
        <row r="217">
          <cell r="B217" t="str">
            <v>بئر النعيمه  6</v>
          </cell>
          <cell r="C217" t="str">
            <v>شرب</v>
          </cell>
          <cell r="D217">
            <v>428320</v>
          </cell>
        </row>
        <row r="218">
          <cell r="B218" t="str">
            <v>بئر النعيمه/4/سلطة المياه</v>
          </cell>
          <cell r="C218" t="str">
            <v>شرب</v>
          </cell>
          <cell r="D218">
            <v>1853400</v>
          </cell>
        </row>
        <row r="219">
          <cell r="B219" t="str">
            <v>بئر ام السرب</v>
          </cell>
          <cell r="C219" t="str">
            <v>شرب</v>
          </cell>
          <cell r="D219">
            <v>620240</v>
          </cell>
        </row>
        <row r="220">
          <cell r="B220" t="str">
            <v>بئر برقش 1</v>
          </cell>
          <cell r="C220" t="str">
            <v>شرب</v>
          </cell>
          <cell r="D220">
            <v>9520</v>
          </cell>
        </row>
        <row r="221">
          <cell r="B221" t="str">
            <v>بئر برما</v>
          </cell>
          <cell r="C221" t="str">
            <v>شرب</v>
          </cell>
          <cell r="D221">
            <v>259520</v>
          </cell>
        </row>
        <row r="222">
          <cell r="B222" t="str">
            <v>بئر تقبل</v>
          </cell>
          <cell r="C222" t="str">
            <v>شرب</v>
          </cell>
          <cell r="D222">
            <v>0</v>
          </cell>
        </row>
        <row r="223">
          <cell r="B223" t="str">
            <v>بئر تل الرمان 1</v>
          </cell>
          <cell r="C223" t="str">
            <v>شرب</v>
          </cell>
          <cell r="D223">
            <v>361840</v>
          </cell>
        </row>
        <row r="224">
          <cell r="B224" t="str">
            <v>بئر ثغرة الجب</v>
          </cell>
          <cell r="C224" t="str">
            <v>شرب</v>
          </cell>
          <cell r="D224">
            <v>131520</v>
          </cell>
        </row>
        <row r="225">
          <cell r="B225" t="str">
            <v>بئر جبيه</v>
          </cell>
          <cell r="C225" t="str">
            <v>شرب</v>
          </cell>
          <cell r="D225">
            <v>1006320</v>
          </cell>
        </row>
        <row r="226">
          <cell r="B226" t="str">
            <v>بئر جديتا /3</v>
          </cell>
          <cell r="C226" t="str">
            <v>شرب</v>
          </cell>
          <cell r="D226">
            <v>365760</v>
          </cell>
        </row>
        <row r="227">
          <cell r="B227" t="str">
            <v>بئر جسر جابر الحدود رقم/1</v>
          </cell>
          <cell r="C227" t="str">
            <v>شرب</v>
          </cell>
          <cell r="D227">
            <v>132880</v>
          </cell>
        </row>
        <row r="228">
          <cell r="B228" t="str">
            <v>بئر حريما رقم 4</v>
          </cell>
          <cell r="C228" t="str">
            <v>شرب</v>
          </cell>
          <cell r="D228">
            <v>1050960</v>
          </cell>
        </row>
        <row r="229">
          <cell r="B229" t="str">
            <v>بئر حريما رقم 5</v>
          </cell>
          <cell r="C229" t="str">
            <v>شرب</v>
          </cell>
          <cell r="D229">
            <v>1006240</v>
          </cell>
        </row>
        <row r="230">
          <cell r="B230" t="str">
            <v>بئر حكما 9</v>
          </cell>
          <cell r="C230" t="str">
            <v>شرب</v>
          </cell>
          <cell r="D230">
            <v>1000320</v>
          </cell>
        </row>
        <row r="231">
          <cell r="B231" t="str">
            <v>بئر حكما رقم 10</v>
          </cell>
          <cell r="C231" t="str">
            <v>شرب</v>
          </cell>
          <cell r="D231">
            <v>849280</v>
          </cell>
        </row>
        <row r="232">
          <cell r="B232" t="str">
            <v>بئر زقيق 5</v>
          </cell>
          <cell r="C232" t="str">
            <v>شرب</v>
          </cell>
          <cell r="D232">
            <v>341600</v>
          </cell>
        </row>
        <row r="233">
          <cell r="B233" t="str">
            <v>بئر زقيق رقم 4</v>
          </cell>
          <cell r="C233" t="str">
            <v>شرب</v>
          </cell>
          <cell r="D233">
            <v>248160</v>
          </cell>
        </row>
        <row r="234">
          <cell r="B234" t="str">
            <v>بئر سلطة المياه الجديد</v>
          </cell>
          <cell r="C234" t="str">
            <v>شرب</v>
          </cell>
          <cell r="D234">
            <v>1052040</v>
          </cell>
        </row>
        <row r="235">
          <cell r="B235" t="str">
            <v>بئر سلطة المياه رقم109.5</v>
          </cell>
          <cell r="C235" t="str">
            <v>شرب</v>
          </cell>
          <cell r="D235">
            <v>1496160</v>
          </cell>
        </row>
        <row r="236">
          <cell r="B236" t="str">
            <v>بئر سلطة المياه/2</v>
          </cell>
          <cell r="C236" t="str">
            <v>شرب</v>
          </cell>
          <cell r="D236">
            <v>1360</v>
          </cell>
        </row>
        <row r="237">
          <cell r="B237" t="str">
            <v>بئر سلطة المياه/تلعة الرز</v>
          </cell>
          <cell r="C237" t="str">
            <v>شرب</v>
          </cell>
          <cell r="D237">
            <v>69360</v>
          </cell>
        </row>
        <row r="238">
          <cell r="B238" t="str">
            <v>بئر سلطة المياه10</v>
          </cell>
          <cell r="C238" t="str">
            <v>شرب</v>
          </cell>
          <cell r="D238">
            <v>841120</v>
          </cell>
        </row>
        <row r="239">
          <cell r="B239" t="str">
            <v>بئر سوف /3 الجديد</v>
          </cell>
          <cell r="C239" t="str">
            <v>شرب</v>
          </cell>
          <cell r="D239">
            <v>29920</v>
          </cell>
        </row>
        <row r="240">
          <cell r="B240" t="str">
            <v>بئر سويلمه رقم 5</v>
          </cell>
          <cell r="C240" t="str">
            <v>شرب</v>
          </cell>
          <cell r="D240">
            <v>665120</v>
          </cell>
        </row>
        <row r="241">
          <cell r="B241" t="str">
            <v>بئر طبقة فحل رقم (1)</v>
          </cell>
          <cell r="C241" t="str">
            <v>شرب</v>
          </cell>
          <cell r="D241">
            <v>1401200</v>
          </cell>
        </row>
        <row r="242">
          <cell r="B242" t="str">
            <v>بئر عمره وعميره</v>
          </cell>
          <cell r="C242" t="str">
            <v>شرب</v>
          </cell>
          <cell r="D242">
            <v>796800</v>
          </cell>
        </row>
        <row r="243">
          <cell r="B243" t="str">
            <v>بئر عيون الحمام رقم 5</v>
          </cell>
          <cell r="C243" t="str">
            <v>شرب</v>
          </cell>
          <cell r="D243">
            <v>268800</v>
          </cell>
        </row>
        <row r="244">
          <cell r="B244" t="str">
            <v>بئر ك 123</v>
          </cell>
          <cell r="C244" t="str">
            <v>شرب</v>
          </cell>
          <cell r="D244">
            <v>1213200</v>
          </cell>
        </row>
        <row r="245">
          <cell r="B245" t="str">
            <v>بئر ك 124 ب</v>
          </cell>
          <cell r="C245" t="str">
            <v>شرب</v>
          </cell>
          <cell r="D245">
            <v>950240</v>
          </cell>
        </row>
        <row r="246">
          <cell r="B246" t="str">
            <v>بئر ك122</v>
          </cell>
          <cell r="C246" t="str">
            <v>شرب</v>
          </cell>
          <cell r="D246">
            <v>1476840</v>
          </cell>
        </row>
        <row r="247">
          <cell r="B247" t="str">
            <v>بئر كردور122</v>
          </cell>
          <cell r="C247" t="str">
            <v>شرب</v>
          </cell>
          <cell r="D247">
            <v>1589280</v>
          </cell>
        </row>
        <row r="248">
          <cell r="B248" t="str">
            <v>بئر كردور21</v>
          </cell>
          <cell r="C248" t="str">
            <v>شرب</v>
          </cell>
          <cell r="D248">
            <v>448320</v>
          </cell>
        </row>
        <row r="249">
          <cell r="B249" t="str">
            <v>بئر كفراسد / 8</v>
          </cell>
          <cell r="C249" t="str">
            <v>شرب</v>
          </cell>
          <cell r="D249">
            <v>292880</v>
          </cell>
        </row>
        <row r="250">
          <cell r="B250" t="str">
            <v>بئر كفراسد /بوشهر</v>
          </cell>
          <cell r="C250" t="str">
            <v>شرب</v>
          </cell>
          <cell r="D250">
            <v>1621440</v>
          </cell>
        </row>
        <row r="251">
          <cell r="B251" t="str">
            <v>بئر كفراسد 7</v>
          </cell>
          <cell r="C251" t="str">
            <v>شرب</v>
          </cell>
          <cell r="D251">
            <v>345200</v>
          </cell>
        </row>
        <row r="252">
          <cell r="B252" t="str">
            <v>بئر كفراسد/5</v>
          </cell>
          <cell r="C252" t="str">
            <v>شرب</v>
          </cell>
          <cell r="D252">
            <v>1965400</v>
          </cell>
        </row>
        <row r="253">
          <cell r="B253" t="str">
            <v>بئر كفراسد/6</v>
          </cell>
          <cell r="C253" t="str">
            <v>شرب</v>
          </cell>
          <cell r="D253">
            <v>214000</v>
          </cell>
        </row>
        <row r="254">
          <cell r="B254" t="str">
            <v>بئر كفراسد/سلطة المياه</v>
          </cell>
          <cell r="C254" t="str">
            <v>شرب</v>
          </cell>
          <cell r="D254">
            <v>740120</v>
          </cell>
        </row>
        <row r="255">
          <cell r="B255" t="str">
            <v>بئر ماء ابو البصل رقم 4</v>
          </cell>
          <cell r="C255" t="str">
            <v>شرب</v>
          </cell>
          <cell r="D255">
            <v>10480</v>
          </cell>
        </row>
        <row r="256">
          <cell r="B256" t="str">
            <v>بئر مرصع /1</v>
          </cell>
          <cell r="C256" t="str">
            <v>شرب</v>
          </cell>
          <cell r="D256">
            <v>47040</v>
          </cell>
        </row>
        <row r="257">
          <cell r="B257" t="str">
            <v>بئر مركز حدود جابر /2</v>
          </cell>
          <cell r="C257" t="str">
            <v>شرب</v>
          </cell>
          <cell r="D257">
            <v>705960</v>
          </cell>
        </row>
        <row r="258">
          <cell r="B258" t="str">
            <v>بئر مشتل فيصل 7</v>
          </cell>
          <cell r="C258" t="str">
            <v>شرب</v>
          </cell>
          <cell r="D258">
            <v>85600</v>
          </cell>
        </row>
        <row r="259">
          <cell r="B259" t="str">
            <v>بئر مشتل فيصل الجديد</v>
          </cell>
          <cell r="C259" t="str">
            <v>شرب</v>
          </cell>
          <cell r="D259">
            <v>521200</v>
          </cell>
        </row>
        <row r="260">
          <cell r="B260" t="str">
            <v>بئر مشتل فيصل رقم  4</v>
          </cell>
          <cell r="C260" t="str">
            <v>شرب</v>
          </cell>
          <cell r="D260">
            <v>334950</v>
          </cell>
        </row>
        <row r="261">
          <cell r="B261" t="str">
            <v>بئر مشتل فيصل رقم 1</v>
          </cell>
          <cell r="C261" t="str">
            <v>شرب</v>
          </cell>
          <cell r="D261">
            <v>473970</v>
          </cell>
        </row>
        <row r="262">
          <cell r="B262" t="str">
            <v>بئر مشتل فيصل رقم 2</v>
          </cell>
          <cell r="C262" t="str">
            <v>شرب</v>
          </cell>
          <cell r="D262">
            <v>232080</v>
          </cell>
        </row>
        <row r="263">
          <cell r="B263" t="str">
            <v>بئر مشتل فيصل رقم 3</v>
          </cell>
          <cell r="C263" t="str">
            <v>شرب</v>
          </cell>
          <cell r="D263">
            <v>402270</v>
          </cell>
        </row>
        <row r="264">
          <cell r="B264" t="str">
            <v>بئر مغير السرحان</v>
          </cell>
          <cell r="C264" t="str">
            <v>شرب</v>
          </cell>
          <cell r="D264">
            <v>808240</v>
          </cell>
        </row>
        <row r="265">
          <cell r="B265" t="str">
            <v>بئر مغير السرحان الجديد</v>
          </cell>
          <cell r="C265" t="str">
            <v>شرب</v>
          </cell>
          <cell r="D265">
            <v>211760</v>
          </cell>
        </row>
        <row r="266">
          <cell r="B266" t="str">
            <v>بئر مغير السرحان رق2</v>
          </cell>
          <cell r="C266" t="str">
            <v>شرب</v>
          </cell>
          <cell r="D266">
            <v>439360</v>
          </cell>
        </row>
        <row r="267">
          <cell r="B267" t="str">
            <v>بئر ملكا/سلطة المياه</v>
          </cell>
          <cell r="C267" t="str">
            <v>شرب</v>
          </cell>
          <cell r="D267">
            <v>1754240</v>
          </cell>
        </row>
        <row r="268">
          <cell r="B268" t="str">
            <v>بئر مندح/4</v>
          </cell>
          <cell r="C268" t="str">
            <v>شرب</v>
          </cell>
          <cell r="D268">
            <v>984320</v>
          </cell>
        </row>
        <row r="269">
          <cell r="B269" t="str">
            <v>بئر مندح/5</v>
          </cell>
          <cell r="C269" t="str">
            <v>شرب</v>
          </cell>
          <cell r="D269">
            <v>813600</v>
          </cell>
        </row>
        <row r="270">
          <cell r="B270" t="str">
            <v>بئر مندح/رقم/1</v>
          </cell>
          <cell r="C270" t="str">
            <v>شرب</v>
          </cell>
          <cell r="D270">
            <v>1401000</v>
          </cell>
        </row>
        <row r="271">
          <cell r="B271" t="str">
            <v>بئر مندح/سلطة المياه/3</v>
          </cell>
          <cell r="C271" t="str">
            <v>شرب</v>
          </cell>
          <cell r="D271">
            <v>640560</v>
          </cell>
        </row>
        <row r="272">
          <cell r="B272" t="str">
            <v>بئرالكرادو2</v>
          </cell>
          <cell r="C272" t="str">
            <v>شرب</v>
          </cell>
          <cell r="D272">
            <v>1496720</v>
          </cell>
        </row>
        <row r="273">
          <cell r="B273" t="str">
            <v>بئرالكرادور1</v>
          </cell>
          <cell r="C273" t="str">
            <v>شرب</v>
          </cell>
          <cell r="D273">
            <v>31120</v>
          </cell>
        </row>
        <row r="274">
          <cell r="B274" t="str">
            <v>بئرالكردور17</v>
          </cell>
          <cell r="C274" t="str">
            <v>شرب</v>
          </cell>
          <cell r="D274">
            <v>977280</v>
          </cell>
        </row>
        <row r="275">
          <cell r="B275" t="str">
            <v>بئرحوشا</v>
          </cell>
          <cell r="C275" t="str">
            <v>شرب</v>
          </cell>
          <cell r="D275">
            <v>512800</v>
          </cell>
        </row>
        <row r="276">
          <cell r="B276" t="str">
            <v>بئرصبحا وصبحية المراقبة</v>
          </cell>
          <cell r="C276" t="str">
            <v>شرب</v>
          </cell>
          <cell r="D276">
            <v>275040</v>
          </cell>
        </row>
        <row r="277">
          <cell r="B277" t="str">
            <v>بئرضبعان</v>
          </cell>
          <cell r="C277" t="str">
            <v>شرب</v>
          </cell>
          <cell r="D277">
            <v>133680</v>
          </cell>
        </row>
        <row r="278">
          <cell r="B278" t="str">
            <v>تفريعة محطة ضخ الزعتري</v>
          </cell>
          <cell r="C278" t="str">
            <v>شرب</v>
          </cell>
          <cell r="D278">
            <v>11220000</v>
          </cell>
        </row>
        <row r="279">
          <cell r="B279" t="str">
            <v>خزان بئركريمة</v>
          </cell>
          <cell r="C279" t="str">
            <v>شرب</v>
          </cell>
          <cell r="D279">
            <v>676960</v>
          </cell>
        </row>
        <row r="280">
          <cell r="B280" t="str">
            <v>خزان جبه</v>
          </cell>
          <cell r="C280" t="str">
            <v>شرب</v>
          </cell>
          <cell r="D280">
            <v>151680</v>
          </cell>
        </row>
        <row r="281">
          <cell r="B281" t="str">
            <v>خزان راجب</v>
          </cell>
          <cell r="C281" t="str">
            <v>شرب</v>
          </cell>
          <cell r="D281">
            <v>2190</v>
          </cell>
        </row>
        <row r="282">
          <cell r="B282" t="str">
            <v>خزان راس منيف</v>
          </cell>
          <cell r="C282" t="str">
            <v>شرب</v>
          </cell>
          <cell r="D282">
            <v>45520</v>
          </cell>
        </row>
        <row r="283">
          <cell r="B283" t="str">
            <v>خزان مياه  بلعما</v>
          </cell>
          <cell r="C283" t="str">
            <v>شرب</v>
          </cell>
          <cell r="D283">
            <v>3960</v>
          </cell>
        </row>
        <row r="284">
          <cell r="B284" t="str">
            <v>خزان مياه الجبل الاخضر</v>
          </cell>
          <cell r="C284" t="str">
            <v>شرب</v>
          </cell>
          <cell r="D284">
            <v>93040</v>
          </cell>
        </row>
        <row r="285">
          <cell r="B285" t="str">
            <v>خزان مياه بليلا</v>
          </cell>
          <cell r="C285" t="str">
            <v>شرب</v>
          </cell>
          <cell r="D285">
            <v>2225</v>
          </cell>
        </row>
        <row r="286">
          <cell r="B286" t="str">
            <v>خزان مياه بئر العاقب</v>
          </cell>
          <cell r="C286" t="str">
            <v>شرب</v>
          </cell>
          <cell r="D286">
            <v>22280</v>
          </cell>
        </row>
        <row r="287">
          <cell r="B287" t="str">
            <v>خزان مياه طبقة فحل</v>
          </cell>
          <cell r="C287" t="str">
            <v>شرب</v>
          </cell>
          <cell r="D287">
            <v>12321</v>
          </cell>
        </row>
        <row r="288">
          <cell r="B288" t="str">
            <v>خزان مياه عجلون</v>
          </cell>
          <cell r="C288" t="str">
            <v>شرب</v>
          </cell>
          <cell r="D288">
            <v>8709</v>
          </cell>
        </row>
        <row r="289">
          <cell r="B289" t="str">
            <v>خزان مياه عنجره</v>
          </cell>
          <cell r="C289" t="str">
            <v>شرب</v>
          </cell>
          <cell r="D289">
            <v>2559</v>
          </cell>
        </row>
        <row r="290">
          <cell r="B290" t="str">
            <v>خزان مياه كفرنجة</v>
          </cell>
          <cell r="C290" t="str">
            <v>شرب</v>
          </cell>
          <cell r="D290">
            <v>4774</v>
          </cell>
        </row>
        <row r="291">
          <cell r="B291" t="str">
            <v>خزان مياه كفرنجة السفلي</v>
          </cell>
          <cell r="C291" t="str">
            <v>شرب</v>
          </cell>
          <cell r="D291">
            <v>5066</v>
          </cell>
        </row>
        <row r="292">
          <cell r="B292" t="str">
            <v>خزان مياه مخيم جرش</v>
          </cell>
          <cell r="C292" t="str">
            <v>شرب</v>
          </cell>
          <cell r="D292">
            <v>3738</v>
          </cell>
        </row>
        <row r="293">
          <cell r="B293" t="str">
            <v>خزان مياه مخيم سوف</v>
          </cell>
          <cell r="C293" t="str">
            <v>شرب</v>
          </cell>
          <cell r="D293">
            <v>2088</v>
          </cell>
        </row>
        <row r="294">
          <cell r="B294" t="str">
            <v>خزان مياه معاذ/جديد</v>
          </cell>
          <cell r="C294" t="str">
            <v>شرب</v>
          </cell>
          <cell r="D294">
            <v>20922</v>
          </cell>
        </row>
        <row r="295">
          <cell r="B295" t="str">
            <v>دعم خدمات الصرف الصحي</v>
          </cell>
          <cell r="C295" t="str">
            <v>اداري</v>
          </cell>
          <cell r="D295">
            <v>24958</v>
          </cell>
        </row>
        <row r="296">
          <cell r="B296" t="str">
            <v>سلطة المياة التحلية</v>
          </cell>
          <cell r="C296" t="str">
            <v>شرب</v>
          </cell>
          <cell r="D296">
            <v>2004200</v>
          </cell>
        </row>
        <row r="297">
          <cell r="B297" t="str">
            <v>سلطة المياة بئرام قنطرة</v>
          </cell>
          <cell r="C297" t="str">
            <v>شرب</v>
          </cell>
          <cell r="D297">
            <v>214400</v>
          </cell>
        </row>
        <row r="298">
          <cell r="B298" t="str">
            <v>سلطة المياة/ بئر رقم 3</v>
          </cell>
          <cell r="C298" t="str">
            <v>شرب</v>
          </cell>
          <cell r="D298">
            <v>170480</v>
          </cell>
        </row>
        <row r="299">
          <cell r="B299" t="str">
            <v>سلطة المياه /بئرالصفاوي/2</v>
          </cell>
          <cell r="C299" t="str">
            <v>شرب</v>
          </cell>
          <cell r="D299">
            <v>149800</v>
          </cell>
        </row>
        <row r="300">
          <cell r="B300" t="str">
            <v>سلطة المياه /سكن موظف</v>
          </cell>
          <cell r="C300" t="str">
            <v>اداري</v>
          </cell>
          <cell r="D300">
            <v>112</v>
          </cell>
        </row>
        <row r="301">
          <cell r="B301" t="str">
            <v>سلطة المياه وبئر عيون /5</v>
          </cell>
          <cell r="C301" t="str">
            <v>شرب</v>
          </cell>
          <cell r="D301">
            <v>737040</v>
          </cell>
        </row>
        <row r="302">
          <cell r="B302" t="str">
            <v>سلطة المياه/ بئر الزبيديه</v>
          </cell>
          <cell r="C302" t="str">
            <v>شرب</v>
          </cell>
          <cell r="D302">
            <v>697920</v>
          </cell>
        </row>
        <row r="303">
          <cell r="B303" t="str">
            <v>سلطة المياه/ بئر الكرادور رقم5</v>
          </cell>
          <cell r="C303" t="str">
            <v>شرب</v>
          </cell>
          <cell r="D303">
            <v>1071900</v>
          </cell>
        </row>
        <row r="304">
          <cell r="B304" t="str">
            <v>سلطة المياه/ بئر الكرادوررقم6</v>
          </cell>
          <cell r="C304" t="str">
            <v>شرب</v>
          </cell>
          <cell r="D304">
            <v>407360</v>
          </cell>
        </row>
        <row r="305">
          <cell r="B305" t="str">
            <v>سلطة المياه/ بئر سميا/12</v>
          </cell>
          <cell r="C305" t="str">
            <v>شرب</v>
          </cell>
          <cell r="D305">
            <v>227920</v>
          </cell>
        </row>
        <row r="306">
          <cell r="B306" t="str">
            <v>سلطة المياه/بئر الاقتصاديه1</v>
          </cell>
          <cell r="C306" t="str">
            <v>شرب</v>
          </cell>
          <cell r="D306">
            <v>450800</v>
          </cell>
        </row>
        <row r="307">
          <cell r="B307" t="str">
            <v>سلطة المياه/بئر العاقب113</v>
          </cell>
          <cell r="C307" t="str">
            <v>شرب</v>
          </cell>
          <cell r="D307">
            <v>819760</v>
          </cell>
        </row>
        <row r="308">
          <cell r="B308" t="str">
            <v>سلطة المياه/بئر القنيه</v>
          </cell>
          <cell r="C308" t="str">
            <v>شرب</v>
          </cell>
          <cell r="D308">
            <v>828160</v>
          </cell>
        </row>
        <row r="309">
          <cell r="B309" t="str">
            <v>سلطة المياه/بئر الكرادور رقم3</v>
          </cell>
          <cell r="C309" t="str">
            <v>شرب</v>
          </cell>
          <cell r="D309">
            <v>965120</v>
          </cell>
        </row>
        <row r="310">
          <cell r="B310" t="str">
            <v>سلطة المياه/بئر رقم/4</v>
          </cell>
          <cell r="C310" t="str">
            <v>شرب</v>
          </cell>
          <cell r="D310">
            <v>400</v>
          </cell>
        </row>
        <row r="311">
          <cell r="B311" t="str">
            <v>سلطة المياه/بئر قويلبه رقم 1</v>
          </cell>
          <cell r="C311" t="str">
            <v>شرب</v>
          </cell>
          <cell r="D311">
            <v>2008080</v>
          </cell>
        </row>
        <row r="312">
          <cell r="B312" t="str">
            <v>سلطة المياه/بئر/20</v>
          </cell>
          <cell r="C312" t="str">
            <v>شرب</v>
          </cell>
          <cell r="D312">
            <v>116560</v>
          </cell>
        </row>
        <row r="313">
          <cell r="B313" t="str">
            <v>سلطة المياه/بئر/5</v>
          </cell>
          <cell r="C313" t="str">
            <v>شرب</v>
          </cell>
          <cell r="D313">
            <v>11280</v>
          </cell>
        </row>
        <row r="314">
          <cell r="B314" t="str">
            <v>سلطة المياه/بئر7/الزنيه</v>
          </cell>
          <cell r="C314" t="str">
            <v>شرب</v>
          </cell>
          <cell r="D314">
            <v>741680</v>
          </cell>
        </row>
        <row r="315">
          <cell r="B315" t="str">
            <v>سلطةالمياه/بئرزقيق رقم 3</v>
          </cell>
          <cell r="C315" t="str">
            <v>شرب</v>
          </cell>
          <cell r="D315">
            <v>0</v>
          </cell>
        </row>
        <row r="316">
          <cell r="B316" t="str">
            <v>سلطةالمياه/مستودع زقلاب</v>
          </cell>
          <cell r="C316" t="str">
            <v>اداري</v>
          </cell>
          <cell r="D316">
            <v>6997</v>
          </cell>
        </row>
        <row r="317">
          <cell r="B317" t="str">
            <v>سلطه المياه/محطه تنقيه الشلاله</v>
          </cell>
          <cell r="C317" t="str">
            <v>تنقيه</v>
          </cell>
          <cell r="D317">
            <v>5706000</v>
          </cell>
        </row>
        <row r="318">
          <cell r="B318" t="str">
            <v>سلطه مياه/بير عيون الحمام/4</v>
          </cell>
          <cell r="C318" t="str">
            <v>شرب</v>
          </cell>
          <cell r="D318">
            <v>303360</v>
          </cell>
        </row>
        <row r="319">
          <cell r="B319" t="str">
            <v>شركة مياه اليرموك</v>
          </cell>
          <cell r="C319" t="str">
            <v>اداري</v>
          </cell>
          <cell r="D319">
            <v>97092</v>
          </cell>
        </row>
        <row r="320">
          <cell r="C320" t="str">
            <v>تنقيه</v>
          </cell>
          <cell r="D320">
            <v>9161</v>
          </cell>
        </row>
        <row r="321">
          <cell r="C321" t="str">
            <v>شرب</v>
          </cell>
          <cell r="D321">
            <v>879404</v>
          </cell>
        </row>
        <row r="322">
          <cell r="B322" t="str">
            <v>شركة مياه اليرموك-ضخ المنشية</v>
          </cell>
          <cell r="C322" t="str">
            <v>شرب</v>
          </cell>
          <cell r="D322">
            <v>5361404</v>
          </cell>
        </row>
        <row r="323">
          <cell r="B323" t="str">
            <v>شركة مياه اليرموك -جرش</v>
          </cell>
          <cell r="C323" t="str">
            <v>اداري</v>
          </cell>
          <cell r="D323">
            <v>57219</v>
          </cell>
        </row>
        <row r="324">
          <cell r="B324" t="str">
            <v>شركة مياه اليرموك -وقاص-دير السعنه1</v>
          </cell>
          <cell r="C324" t="str">
            <v>شرب</v>
          </cell>
          <cell r="D324">
            <v>6013261</v>
          </cell>
        </row>
        <row r="325">
          <cell r="B325" t="str">
            <v>شركة مياه اليرموك -وقاص-وادي العرب</v>
          </cell>
          <cell r="C325" t="str">
            <v>شرب</v>
          </cell>
          <cell r="D325">
            <v>39029464</v>
          </cell>
        </row>
        <row r="326">
          <cell r="B326" t="str">
            <v>شركة مياه اليرموك  (ذ.م.م)</v>
          </cell>
          <cell r="C326" t="str">
            <v>اداري</v>
          </cell>
          <cell r="D326">
            <v>25862</v>
          </cell>
        </row>
        <row r="327">
          <cell r="B327" t="str">
            <v>شركة مياه اليرموك الشونه الشماليه</v>
          </cell>
          <cell r="C327" t="str">
            <v>اداري</v>
          </cell>
          <cell r="D327">
            <v>58551</v>
          </cell>
        </row>
        <row r="328">
          <cell r="B328" t="str">
            <v>شركة مياه اليرموك/ المعالجة</v>
          </cell>
          <cell r="C328" t="str">
            <v>شرب</v>
          </cell>
          <cell r="D328">
            <v>3240000</v>
          </cell>
        </row>
        <row r="329">
          <cell r="B329" t="str">
            <v>شركة مياه اليرموك/بئر ام القطي</v>
          </cell>
          <cell r="C329" t="str">
            <v>شرب</v>
          </cell>
          <cell r="D329">
            <v>7400</v>
          </cell>
        </row>
        <row r="330">
          <cell r="B330" t="str">
            <v>شركة مياه اليرموك/محطة ضخ2</v>
          </cell>
          <cell r="C330" t="str">
            <v>شرب</v>
          </cell>
          <cell r="D330">
            <v>1739760</v>
          </cell>
        </row>
        <row r="331">
          <cell r="B331" t="str">
            <v>شركة مياه اليرموك/محطة ضخ3</v>
          </cell>
          <cell r="C331" t="str">
            <v>شرب</v>
          </cell>
          <cell r="D331">
            <v>2247840</v>
          </cell>
        </row>
        <row r="332">
          <cell r="B332" t="str">
            <v>شركة مياه اليرموك656 وارد1389</v>
          </cell>
          <cell r="C332" t="str">
            <v xml:space="preserve">شرب </v>
          </cell>
          <cell r="D332">
            <v>4480</v>
          </cell>
        </row>
        <row r="333">
          <cell r="B333" t="str">
            <v>كتاب سلطة المياه وارد 1573</v>
          </cell>
          <cell r="C333" t="str">
            <v>شرب</v>
          </cell>
          <cell r="D333">
            <v>23700</v>
          </cell>
        </row>
        <row r="334">
          <cell r="B334" t="str">
            <v>كهربة بئر سد الوحدة</v>
          </cell>
          <cell r="C334" t="str">
            <v>شرب</v>
          </cell>
          <cell r="D334">
            <v>2437680</v>
          </cell>
        </row>
        <row r="335">
          <cell r="B335" t="str">
            <v>كهربة محطة رفع سد الوحدة</v>
          </cell>
          <cell r="C335" t="str">
            <v>شرب</v>
          </cell>
          <cell r="D335">
            <v>2075880</v>
          </cell>
        </row>
        <row r="336">
          <cell r="B336" t="str">
            <v>مبنى قطاع الشمال</v>
          </cell>
          <cell r="C336" t="str">
            <v>اداري</v>
          </cell>
          <cell r="D336">
            <v>106500</v>
          </cell>
        </row>
        <row r="337">
          <cell r="B337" t="str">
            <v>محطة الشق البارد</v>
          </cell>
          <cell r="C337" t="str">
            <v>شرب</v>
          </cell>
          <cell r="D337">
            <v>554800</v>
          </cell>
        </row>
        <row r="338">
          <cell r="B338" t="str">
            <v>محطة تحلية مشتل فيصل</v>
          </cell>
          <cell r="C338" t="str">
            <v>شرب</v>
          </cell>
          <cell r="D338">
            <v>6444000</v>
          </cell>
        </row>
        <row r="339">
          <cell r="B339" t="str">
            <v>محطة تنقية الاكيدر</v>
          </cell>
          <cell r="C339" t="str">
            <v>تنقيه</v>
          </cell>
          <cell r="D339">
            <v>313280</v>
          </cell>
        </row>
        <row r="340">
          <cell r="B340" t="str">
            <v>محطة تنقية المعراض/سلطة المياة</v>
          </cell>
          <cell r="C340" t="str">
            <v>تنقيه</v>
          </cell>
          <cell r="D340">
            <v>1878000</v>
          </cell>
        </row>
        <row r="341">
          <cell r="B341" t="str">
            <v>محطة تنقية المفرق</v>
          </cell>
          <cell r="C341" t="str">
            <v>تنقيه</v>
          </cell>
          <cell r="D341">
            <v>2068080</v>
          </cell>
        </row>
        <row r="342">
          <cell r="B342" t="str">
            <v>محطة تنقية حدود جابر</v>
          </cell>
          <cell r="C342" t="str">
            <v>شرب</v>
          </cell>
          <cell r="D342">
            <v>0</v>
          </cell>
        </row>
        <row r="343">
          <cell r="B343" t="str">
            <v>محطة تنقية شرق جرش</v>
          </cell>
          <cell r="C343" t="str">
            <v>تنقيه</v>
          </cell>
          <cell r="D343">
            <v>2256000</v>
          </cell>
        </row>
        <row r="344">
          <cell r="B344" t="str">
            <v>محطة رفع سال</v>
          </cell>
          <cell r="C344" t="str">
            <v>شرب</v>
          </cell>
          <cell r="D344">
            <v>32400</v>
          </cell>
        </row>
        <row r="345">
          <cell r="B345" t="str">
            <v>محطة رفع صحي بشرى</v>
          </cell>
          <cell r="C345" t="str">
            <v>تنقيه</v>
          </cell>
          <cell r="D345">
            <v>81600</v>
          </cell>
        </row>
        <row r="346">
          <cell r="B346" t="str">
            <v>محطة رفع عين الديك/سلطة المياة</v>
          </cell>
          <cell r="C346" t="str">
            <v>شرب</v>
          </cell>
          <cell r="D346">
            <v>224800</v>
          </cell>
        </row>
        <row r="347">
          <cell r="B347" t="str">
            <v>محطة رفع كفرنجه</v>
          </cell>
          <cell r="C347" t="str">
            <v>تنقيه</v>
          </cell>
          <cell r="D347">
            <v>8573</v>
          </cell>
        </row>
        <row r="348">
          <cell r="B348" t="str">
            <v>محطة رفع منشية بني حسن</v>
          </cell>
          <cell r="C348" t="str">
            <v>شرب</v>
          </cell>
          <cell r="D348">
            <v>58350</v>
          </cell>
        </row>
        <row r="349">
          <cell r="B349" t="str">
            <v>محطة صرف صحي دوقره</v>
          </cell>
          <cell r="C349" t="str">
            <v>تنقيه</v>
          </cell>
          <cell r="D349">
            <v>31950</v>
          </cell>
        </row>
        <row r="350">
          <cell r="B350" t="str">
            <v>محطة ضخ باتجاة خزانات جرش</v>
          </cell>
          <cell r="C350" t="str">
            <v>شرب</v>
          </cell>
          <cell r="D350">
            <v>2001000</v>
          </cell>
        </row>
        <row r="351">
          <cell r="B351" t="str">
            <v>محطة ضخ جبة / سلطة المياة</v>
          </cell>
          <cell r="C351" t="str">
            <v>شرب</v>
          </cell>
          <cell r="D351">
            <v>1231680</v>
          </cell>
        </row>
        <row r="352">
          <cell r="B352" t="str">
            <v>محطة ضخ زبدا</v>
          </cell>
          <cell r="C352" t="str">
            <v>شرب</v>
          </cell>
          <cell r="D352">
            <v>5510</v>
          </cell>
        </row>
        <row r="353">
          <cell r="B353" t="str">
            <v>محطة مياه تحلية الحمه ن 240</v>
          </cell>
          <cell r="C353" t="str">
            <v>شرب</v>
          </cell>
          <cell r="D353">
            <v>995040</v>
          </cell>
        </row>
        <row r="354">
          <cell r="B354" t="str">
            <v>مديرية مياه البادية الشمالية</v>
          </cell>
          <cell r="C354" t="str">
            <v>اداري</v>
          </cell>
          <cell r="D354">
            <v>22559</v>
          </cell>
        </row>
        <row r="355">
          <cell r="B355" t="str">
            <v>مديرية مياه لواء الرمثا</v>
          </cell>
          <cell r="C355" t="str">
            <v>اداري</v>
          </cell>
          <cell r="D355">
            <v>0</v>
          </cell>
        </row>
        <row r="356">
          <cell r="B356" t="str">
            <v>مديرية مياه لواء الكورة</v>
          </cell>
          <cell r="C356" t="str">
            <v>اداري</v>
          </cell>
          <cell r="D356">
            <v>28076</v>
          </cell>
        </row>
        <row r="357">
          <cell r="B357" t="str">
            <v>مشروع توسعة محطة تنقية كفرنجه</v>
          </cell>
          <cell r="C357" t="str">
            <v>تنقيه</v>
          </cell>
          <cell r="D357">
            <v>1518000</v>
          </cell>
        </row>
        <row r="358">
          <cell r="B358" t="str">
            <v>مشروع مياه الصريح /3</v>
          </cell>
          <cell r="C358" t="str">
            <v>شرب</v>
          </cell>
          <cell r="D358">
            <v>0</v>
          </cell>
        </row>
        <row r="359">
          <cell r="B359" t="str">
            <v>مشروع مياه الصريح /4</v>
          </cell>
          <cell r="C359" t="str">
            <v>شرب</v>
          </cell>
          <cell r="D359">
            <v>0</v>
          </cell>
        </row>
        <row r="360">
          <cell r="B360" t="str">
            <v>مشروع مياه حوارة /2</v>
          </cell>
          <cell r="C360" t="str">
            <v>شرب</v>
          </cell>
          <cell r="D360">
            <v>10</v>
          </cell>
        </row>
        <row r="361">
          <cell r="B361" t="str">
            <v>مشروع مياه حوارة/1</v>
          </cell>
          <cell r="C361" t="str">
            <v>شرب</v>
          </cell>
          <cell r="D361">
            <v>0</v>
          </cell>
        </row>
        <row r="362">
          <cell r="B362" t="str">
            <v>مضخه بئركريمه/الاسكان رقم (4+5</v>
          </cell>
          <cell r="C362" t="str">
            <v>شرب</v>
          </cell>
          <cell r="D362">
            <v>786480</v>
          </cell>
        </row>
        <row r="363">
          <cell r="B363" t="str">
            <v>ميا5 الاغوار الشاليه (4)/004</v>
          </cell>
          <cell r="C363" t="str">
            <v>اداري</v>
          </cell>
          <cell r="D363">
            <v>0</v>
          </cell>
        </row>
        <row r="364">
          <cell r="B364" t="str">
            <v>مياه ابو هابيل اسبيره/011</v>
          </cell>
          <cell r="C364" t="str">
            <v>شرب</v>
          </cell>
          <cell r="D364">
            <v>392800</v>
          </cell>
        </row>
        <row r="365">
          <cell r="B365" t="str">
            <v>مياه الاغوار الشمالية-المبنى الجديد</v>
          </cell>
          <cell r="C365" t="str">
            <v>اداري</v>
          </cell>
          <cell r="D365">
            <v>3939</v>
          </cell>
        </row>
        <row r="366">
          <cell r="B366" t="str">
            <v>مياه الاغوار بئر كريمه (1)/017</v>
          </cell>
          <cell r="C366" t="str">
            <v>شرب</v>
          </cell>
          <cell r="D366">
            <v>337440</v>
          </cell>
        </row>
        <row r="367">
          <cell r="B367" t="str">
            <v>مياه الاغوار كريمه (3)/019</v>
          </cell>
          <cell r="C367" t="str">
            <v>شرب</v>
          </cell>
          <cell r="D367">
            <v>230100</v>
          </cell>
        </row>
        <row r="368">
          <cell r="B368" t="str">
            <v>مياه الرويشد /(2)/رقم 2/293</v>
          </cell>
          <cell r="C368" t="str">
            <v>اداري</v>
          </cell>
          <cell r="D368">
            <v>491800</v>
          </cell>
        </row>
        <row r="369">
          <cell r="B369" t="str">
            <v>مياه الرويشد /294</v>
          </cell>
          <cell r="C369" t="str">
            <v>شرب</v>
          </cell>
          <cell r="D369">
            <v>1276000</v>
          </cell>
        </row>
        <row r="370">
          <cell r="B370" t="str">
            <v>مياه الرويشد/(4)/292</v>
          </cell>
          <cell r="C370" t="str">
            <v>شرب</v>
          </cell>
          <cell r="D370">
            <v>380400</v>
          </cell>
        </row>
        <row r="371">
          <cell r="B371" t="str">
            <v>مياه الرويشد/بئر 6</v>
          </cell>
          <cell r="C371" t="str">
            <v>شرب</v>
          </cell>
          <cell r="D371">
            <v>393200</v>
          </cell>
        </row>
        <row r="372">
          <cell r="B372" t="str">
            <v>مياه الرويشد\بئر7</v>
          </cell>
          <cell r="C372" t="str">
            <v>شرب</v>
          </cell>
          <cell r="D372">
            <v>428640</v>
          </cell>
        </row>
        <row r="373">
          <cell r="B373" t="str">
            <v>مياه الغور الشمالي /م ت /022</v>
          </cell>
          <cell r="C373" t="str">
            <v>اداري</v>
          </cell>
          <cell r="D373">
            <v>1825</v>
          </cell>
        </row>
        <row r="374">
          <cell r="B374" t="str">
            <v>مياه الغور الشمالي/صوفره/015</v>
          </cell>
          <cell r="C374" t="str">
            <v>شرب</v>
          </cell>
          <cell r="D374">
            <v>4720</v>
          </cell>
        </row>
        <row r="375">
          <cell r="B375" t="str">
            <v>مياه اليرموك-بئرالكوم الاحمر</v>
          </cell>
          <cell r="C375" t="str">
            <v>شرب</v>
          </cell>
          <cell r="D375">
            <v>161200</v>
          </cell>
        </row>
        <row r="376">
          <cell r="B376" t="str">
            <v>مياه اليرموك / عيون الحمام</v>
          </cell>
          <cell r="C376" t="str">
            <v>شرب</v>
          </cell>
          <cell r="D376">
            <v>4227000</v>
          </cell>
        </row>
        <row r="377">
          <cell r="B377" t="str">
            <v>مياه اليرموك بئر البركه 8</v>
          </cell>
          <cell r="C377" t="str">
            <v>شرب</v>
          </cell>
          <cell r="D377">
            <v>31590</v>
          </cell>
        </row>
        <row r="378">
          <cell r="B378" t="str">
            <v>مياه اليرموك بئر النعيمه 8</v>
          </cell>
          <cell r="C378" t="str">
            <v>شرب</v>
          </cell>
          <cell r="D378">
            <v>567000</v>
          </cell>
        </row>
        <row r="379">
          <cell r="B379" t="str">
            <v>مياه اليرموك/ بئر الطره</v>
          </cell>
          <cell r="C379" t="str">
            <v>شرب</v>
          </cell>
          <cell r="D379">
            <v>619200</v>
          </cell>
        </row>
        <row r="380">
          <cell r="B380" t="str">
            <v>مياه اليرموك/بئر الاقتصاديه6</v>
          </cell>
          <cell r="C380" t="str">
            <v>شرب</v>
          </cell>
          <cell r="D380">
            <v>954600</v>
          </cell>
        </row>
        <row r="381">
          <cell r="B381" t="str">
            <v>مياه اليرموك/بئر الدفيانه4</v>
          </cell>
          <cell r="C381" t="str">
            <v>شرب</v>
          </cell>
          <cell r="D381">
            <v>840880</v>
          </cell>
        </row>
        <row r="382">
          <cell r="B382" t="str">
            <v>مياه اليرموك/بئر جابر 10</v>
          </cell>
          <cell r="C382" t="str">
            <v>شرب</v>
          </cell>
          <cell r="D382">
            <v>756600</v>
          </cell>
        </row>
        <row r="383">
          <cell r="B383" t="str">
            <v>مياه اليرموك/بئر جابر رقم9</v>
          </cell>
          <cell r="C383" t="str">
            <v>شرب</v>
          </cell>
          <cell r="D383">
            <v>698400</v>
          </cell>
        </row>
        <row r="384">
          <cell r="B384" t="str">
            <v>مياه اليرموك/بئر سد الوحدة 2</v>
          </cell>
          <cell r="C384" t="str">
            <v>شرب</v>
          </cell>
          <cell r="D384">
            <v>1029000</v>
          </cell>
        </row>
        <row r="385">
          <cell r="B385" t="str">
            <v>مياه اليرموك/بئرابوالفرث</v>
          </cell>
          <cell r="C385" t="str">
            <v>شرب</v>
          </cell>
          <cell r="D385">
            <v>1007280</v>
          </cell>
        </row>
        <row r="386">
          <cell r="B386" t="str">
            <v>مياه بوستر العدسيه/001</v>
          </cell>
          <cell r="C386" t="str">
            <v>شرب</v>
          </cell>
          <cell r="D386">
            <v>69000</v>
          </cell>
        </row>
        <row r="387">
          <cell r="B387" t="str">
            <v>مياه بئر السليخات /013</v>
          </cell>
          <cell r="C387" t="str">
            <v>شرب</v>
          </cell>
          <cell r="D387">
            <v>87300</v>
          </cell>
        </row>
        <row r="388">
          <cell r="B388" t="str">
            <v>مياه طبقه فحل /008</v>
          </cell>
          <cell r="C388" t="str">
            <v>شرب</v>
          </cell>
          <cell r="D388">
            <v>1462500</v>
          </cell>
        </row>
        <row r="389">
          <cell r="B389" t="str">
            <v>نبع راسون</v>
          </cell>
          <cell r="C389" t="str">
            <v>شرب</v>
          </cell>
          <cell r="D389">
            <v>175680</v>
          </cell>
        </row>
        <row r="390">
          <cell r="B390" t="str">
            <v>هنجر الكلورين</v>
          </cell>
          <cell r="C390" t="str">
            <v>شرب</v>
          </cell>
          <cell r="D390">
            <v>11710</v>
          </cell>
        </row>
        <row r="391">
          <cell r="B391" t="str">
            <v>وزارة المياه والري</v>
          </cell>
          <cell r="C391" t="str">
            <v>شرب</v>
          </cell>
          <cell r="D391">
            <v>1196400</v>
          </cell>
        </row>
        <row r="392">
          <cell r="B392" t="str">
            <v>وزارة المياه وري</v>
          </cell>
          <cell r="C392" t="str">
            <v>اداري</v>
          </cell>
        </row>
        <row r="393">
          <cell r="B393" t="str">
            <v>Total général</v>
          </cell>
        </row>
        <row r="398">
          <cell r="B398" t="str">
            <v>Old subscription name</v>
          </cell>
        </row>
        <row r="399">
          <cell r="B399" t="str">
            <v>Étiquettes de lignes</v>
          </cell>
          <cell r="C399" t="str">
            <v>التصنيف</v>
          </cell>
        </row>
        <row r="400">
          <cell r="B400" t="str">
            <v>026/خزان سماالروسان</v>
          </cell>
          <cell r="C400" t="str">
            <v>شرب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  <sheetName val="PIVOT"/>
      <sheetName val="تفاصيل"/>
      <sheetName val="WWTP"/>
      <sheetName val="Irbid"/>
      <sheetName val="Jarash"/>
      <sheetName val="Ajloun"/>
      <sheetName val="wells"/>
      <sheetName val="wadi arab 1"/>
      <sheetName val="wadi arab 2"/>
      <sheetName val="Sheet2"/>
      <sheetName val="Mafarq"/>
    </sheetNames>
    <sheetDataSet>
      <sheetData sheetId="0"/>
      <sheetData sheetId="1">
        <row r="4">
          <cell r="A4" t="str">
            <v>026/خزان سماالروسان</v>
          </cell>
          <cell r="B4">
            <v>12525</v>
          </cell>
        </row>
        <row r="5">
          <cell r="A5" t="str">
            <v>027/بئر حريما رقم 2</v>
          </cell>
          <cell r="B5">
            <v>799200</v>
          </cell>
        </row>
        <row r="6">
          <cell r="A6" t="str">
            <v>029/محطة حريما</v>
          </cell>
          <cell r="B6">
            <v>1395840</v>
          </cell>
        </row>
        <row r="7">
          <cell r="A7" t="str">
            <v>036/محطة تنقية دوقره</v>
          </cell>
          <cell r="B7">
            <v>2967000</v>
          </cell>
        </row>
        <row r="8">
          <cell r="A8" t="str">
            <v>037/محطة دوقره</v>
          </cell>
          <cell r="B8">
            <v>742560</v>
          </cell>
        </row>
        <row r="9">
          <cell r="A9" t="str">
            <v>043/محطة الطيبه</v>
          </cell>
          <cell r="B9">
            <v>5600</v>
          </cell>
        </row>
        <row r="10">
          <cell r="A10" t="str">
            <v>046/محطة كفريوبا</v>
          </cell>
          <cell r="B10">
            <v>808700</v>
          </cell>
        </row>
        <row r="11">
          <cell r="A11" t="str">
            <v>048/محطة راحوب</v>
          </cell>
          <cell r="B11">
            <v>296480</v>
          </cell>
        </row>
        <row r="12">
          <cell r="A12" t="str">
            <v>050/بئر حكما رقم 7</v>
          </cell>
          <cell r="B12">
            <v>523280</v>
          </cell>
        </row>
        <row r="13">
          <cell r="A13" t="str">
            <v>051/بئر حكما رقم 6</v>
          </cell>
          <cell r="B13">
            <v>663600</v>
          </cell>
        </row>
        <row r="14">
          <cell r="A14" t="str">
            <v>052/محطة رفع حكما</v>
          </cell>
          <cell r="B14">
            <v>212280</v>
          </cell>
        </row>
        <row r="15">
          <cell r="A15" t="str">
            <v>053/محطة بشرى 1</v>
          </cell>
          <cell r="B15">
            <v>2701680</v>
          </cell>
        </row>
        <row r="16">
          <cell r="A16" t="str">
            <v>054/محطة تنقية اربد-فوعرا</v>
          </cell>
          <cell r="B16">
            <v>2586000</v>
          </cell>
        </row>
        <row r="17">
          <cell r="A17" t="str">
            <v>056/بئر حكما رقم 5</v>
          </cell>
          <cell r="B17">
            <v>807840</v>
          </cell>
        </row>
        <row r="18">
          <cell r="A18" t="str">
            <v>057/السكن الوظيفي لموظفي</v>
          </cell>
          <cell r="B18">
            <v>5814</v>
          </cell>
        </row>
        <row r="19">
          <cell r="A19" t="str">
            <v>057/مبنى قطاع الشمال/الادا</v>
          </cell>
          <cell r="B19">
            <v>116520</v>
          </cell>
        </row>
        <row r="20">
          <cell r="A20" t="str">
            <v>057/مبنى قطاع الشمال-مبنى</v>
          </cell>
          <cell r="B20">
            <v>42399</v>
          </cell>
        </row>
        <row r="21">
          <cell r="A21" t="str">
            <v>059/محطة زبده # 3</v>
          </cell>
          <cell r="B21">
            <v>4209000</v>
          </cell>
        </row>
        <row r="22">
          <cell r="A22" t="str">
            <v>059/محطة زبده # 4</v>
          </cell>
          <cell r="B22">
            <v>1983000</v>
          </cell>
        </row>
        <row r="23">
          <cell r="A23" t="str">
            <v>059/محطة زبده #1</v>
          </cell>
          <cell r="B23">
            <v>3482700</v>
          </cell>
        </row>
        <row r="24">
          <cell r="A24" t="str">
            <v>059/محطة زبده #2</v>
          </cell>
          <cell r="B24">
            <v>3246600</v>
          </cell>
        </row>
        <row r="25">
          <cell r="A25" t="str">
            <v>062/محطة الجحفيه</v>
          </cell>
          <cell r="B25">
            <v>3747840</v>
          </cell>
        </row>
        <row r="26">
          <cell r="A26" t="str">
            <v>063/محطة حوفا</v>
          </cell>
          <cell r="B26">
            <v>4589100</v>
          </cell>
        </row>
        <row r="27">
          <cell r="A27" t="str">
            <v>063/محطة مياه فوعرا</v>
          </cell>
          <cell r="B27">
            <v>9040</v>
          </cell>
        </row>
        <row r="28">
          <cell r="A28" t="str">
            <v>063/مشاغل حوفا</v>
          </cell>
          <cell r="B28">
            <v>141600</v>
          </cell>
        </row>
        <row r="29">
          <cell r="A29" t="str">
            <v>064/مكتب بني عبيد</v>
          </cell>
          <cell r="B29">
            <v>37184</v>
          </cell>
        </row>
        <row r="30">
          <cell r="A30" t="str">
            <v>065/محطة الحصن</v>
          </cell>
          <cell r="B30">
            <v>580800</v>
          </cell>
        </row>
        <row r="31">
          <cell r="A31" t="str">
            <v>066/محطة رفع وادي حسان</v>
          </cell>
          <cell r="B31">
            <v>219000</v>
          </cell>
        </row>
        <row r="32">
          <cell r="A32" t="str">
            <v>067/محطة صمد</v>
          </cell>
          <cell r="B32">
            <v>4250800</v>
          </cell>
        </row>
        <row r="33">
          <cell r="A33" t="str">
            <v>068/محطة تنقية وادي حسان</v>
          </cell>
          <cell r="B33">
            <v>1122000</v>
          </cell>
        </row>
        <row r="34">
          <cell r="A34" t="str">
            <v>069/محطة النعيمه رقم 2</v>
          </cell>
          <cell r="B34">
            <v>154350</v>
          </cell>
        </row>
        <row r="35">
          <cell r="A35" t="str">
            <v>070/محطة النعيمه رقم 1</v>
          </cell>
          <cell r="B35">
            <v>628950</v>
          </cell>
        </row>
        <row r="36">
          <cell r="A36" t="str">
            <v>071/بئر النعيمه رقم 2</v>
          </cell>
          <cell r="B36">
            <v>274320</v>
          </cell>
        </row>
        <row r="37">
          <cell r="A37" t="str">
            <v>073/بوستر سموع</v>
          </cell>
          <cell r="B37">
            <v>333200</v>
          </cell>
        </row>
        <row r="38">
          <cell r="A38" t="str">
            <v>075/محطة عيون الحمام 1</v>
          </cell>
          <cell r="B38">
            <v>489650</v>
          </cell>
        </row>
        <row r="39">
          <cell r="A39" t="str">
            <v>075/محطة عيون الحمام 3</v>
          </cell>
          <cell r="B39">
            <v>492000</v>
          </cell>
        </row>
        <row r="40">
          <cell r="A40" t="str">
            <v>078/بوستر تبنه</v>
          </cell>
          <cell r="B40">
            <v>270950</v>
          </cell>
        </row>
        <row r="41">
          <cell r="A41" t="str">
            <v>079/بوستر الاشرفيه</v>
          </cell>
          <cell r="B41">
            <v>1074000</v>
          </cell>
        </row>
        <row r="42">
          <cell r="A42" t="str">
            <v>082/بئر جديتا رقم 2</v>
          </cell>
          <cell r="B42">
            <v>241770</v>
          </cell>
        </row>
        <row r="43">
          <cell r="A43" t="str">
            <v>083/محطة جديتا</v>
          </cell>
          <cell r="B43">
            <v>2872500</v>
          </cell>
        </row>
        <row r="44">
          <cell r="A44" t="str">
            <v>089/محطة تنقية الرمثا</v>
          </cell>
          <cell r="B44">
            <v>2168800</v>
          </cell>
        </row>
        <row r="45">
          <cell r="A45" t="str">
            <v>090/محطة المحاسي</v>
          </cell>
          <cell r="B45">
            <v>1143000</v>
          </cell>
        </row>
        <row r="46">
          <cell r="A46" t="str">
            <v>093/محطة الحدود</v>
          </cell>
          <cell r="B46">
            <v>1213800</v>
          </cell>
        </row>
        <row r="47">
          <cell r="A47" t="str">
            <v>096/بئر جابر رقم 4</v>
          </cell>
          <cell r="B47">
            <v>80</v>
          </cell>
        </row>
        <row r="48">
          <cell r="A48" t="str">
            <v>099/بئر جابر رقم 2</v>
          </cell>
          <cell r="B48">
            <v>80</v>
          </cell>
        </row>
        <row r="49">
          <cell r="A49" t="str">
            <v>1/مشروع مياه الصريح</v>
          </cell>
          <cell r="B49">
            <v>0</v>
          </cell>
        </row>
        <row r="50">
          <cell r="A50" t="str">
            <v>100/بئر جابر رقم 6</v>
          </cell>
          <cell r="B50">
            <v>1280</v>
          </cell>
        </row>
        <row r="51">
          <cell r="A51" t="str">
            <v>101/محطة جابر</v>
          </cell>
          <cell r="B51">
            <v>114240</v>
          </cell>
        </row>
        <row r="52">
          <cell r="A52" t="str">
            <v>104/محطة نبعة عين التنور</v>
          </cell>
          <cell r="B52">
            <v>1428960</v>
          </cell>
        </row>
        <row r="53">
          <cell r="A53" t="str">
            <v>106/بئر زقيق رقم 2</v>
          </cell>
          <cell r="B53">
            <v>1219800</v>
          </cell>
        </row>
        <row r="54">
          <cell r="A54" t="str">
            <v>109/بئر عرجان</v>
          </cell>
          <cell r="B54">
            <v>0</v>
          </cell>
        </row>
        <row r="55">
          <cell r="A55" t="str">
            <v>110/محطة زقيق 2</v>
          </cell>
          <cell r="B55">
            <v>1685800</v>
          </cell>
        </row>
        <row r="56">
          <cell r="A56" t="str">
            <v>111/محطة زقيق رقم 1</v>
          </cell>
          <cell r="B56">
            <v>1454080</v>
          </cell>
        </row>
        <row r="57">
          <cell r="A57" t="str">
            <v>113/محطة باعون</v>
          </cell>
          <cell r="B57">
            <v>1944000</v>
          </cell>
        </row>
        <row r="58">
          <cell r="A58" t="str">
            <v>117/بئر الزقيق رقم 3</v>
          </cell>
          <cell r="B58">
            <v>1412200</v>
          </cell>
        </row>
        <row r="59">
          <cell r="A59" t="str">
            <v>119/محطة اشتفينا</v>
          </cell>
          <cell r="B59">
            <v>1429900</v>
          </cell>
        </row>
        <row r="60">
          <cell r="A60" t="str">
            <v>121/محطه زقيق رقم 4</v>
          </cell>
          <cell r="B60">
            <v>759480</v>
          </cell>
        </row>
        <row r="61">
          <cell r="A61" t="str">
            <v>122/محطة نبعة عين جنا</v>
          </cell>
          <cell r="B61">
            <v>226750</v>
          </cell>
        </row>
        <row r="62">
          <cell r="A62" t="str">
            <v>122/محطة نبعة عين جنا 1</v>
          </cell>
          <cell r="B62">
            <v>12741</v>
          </cell>
        </row>
        <row r="63">
          <cell r="A63" t="str">
            <v>125/مبنى عجلون 1</v>
          </cell>
          <cell r="B63">
            <v>6948</v>
          </cell>
        </row>
        <row r="64">
          <cell r="A64" t="str">
            <v>125/مبنى عجلون 2</v>
          </cell>
          <cell r="B64">
            <v>0</v>
          </cell>
        </row>
        <row r="65">
          <cell r="A65" t="str">
            <v>125/مبنى عجلون 3</v>
          </cell>
          <cell r="B65">
            <v>208</v>
          </cell>
        </row>
        <row r="66">
          <cell r="A66" t="str">
            <v>126/محطة القنطره</v>
          </cell>
          <cell r="B66">
            <v>1304880</v>
          </cell>
        </row>
        <row r="67">
          <cell r="A67" t="str">
            <v>131/محطة تنقية كفرنجه</v>
          </cell>
          <cell r="B67">
            <v>28720</v>
          </cell>
        </row>
        <row r="68">
          <cell r="A68" t="str">
            <v>136/محطة عين ام قاسم</v>
          </cell>
          <cell r="B68">
            <v>229920</v>
          </cell>
        </row>
        <row r="69">
          <cell r="A69" t="str">
            <v>142/بئر سوف الغربي</v>
          </cell>
          <cell r="B69">
            <v>210600</v>
          </cell>
        </row>
        <row r="70">
          <cell r="A70" t="str">
            <v>142/خزان سوف الغربي</v>
          </cell>
          <cell r="B70">
            <v>18797</v>
          </cell>
        </row>
        <row r="71">
          <cell r="A71" t="str">
            <v>143/بئر سوف الشرقي</v>
          </cell>
          <cell r="B71">
            <v>0</v>
          </cell>
        </row>
        <row r="72">
          <cell r="A72" t="str">
            <v>150/محطة الشواهد</v>
          </cell>
          <cell r="B72">
            <v>1168080</v>
          </cell>
        </row>
        <row r="73">
          <cell r="A73" t="str">
            <v>154/بئر وادي الدير الشرقي 3</v>
          </cell>
          <cell r="B73">
            <v>274160</v>
          </cell>
        </row>
        <row r="74">
          <cell r="A74" t="str">
            <v>157/محطة بوستر ساكب 1</v>
          </cell>
          <cell r="B74">
            <v>308960</v>
          </cell>
        </row>
        <row r="75">
          <cell r="A75" t="str">
            <v>157/محطة بوستر ساكب 2</v>
          </cell>
          <cell r="B75">
            <v>3198</v>
          </cell>
        </row>
        <row r="76">
          <cell r="A76" t="str">
            <v>158/بئر جرش رقم 4-قسم الحركه</v>
          </cell>
          <cell r="B76">
            <v>150480</v>
          </cell>
        </row>
        <row r="77">
          <cell r="A77" t="str">
            <v>160/خزان جرش</v>
          </cell>
          <cell r="B77">
            <v>10747</v>
          </cell>
        </row>
        <row r="78">
          <cell r="A78" t="str">
            <v>162/محطة القيروان 1</v>
          </cell>
          <cell r="B78">
            <v>13545</v>
          </cell>
        </row>
        <row r="79">
          <cell r="A79" t="str">
            <v>162/محطة القيروان 2</v>
          </cell>
          <cell r="B79">
            <v>1135600</v>
          </cell>
        </row>
        <row r="80">
          <cell r="A80" t="str">
            <v>164/مبنى جرش 1</v>
          </cell>
          <cell r="B80">
            <v>66</v>
          </cell>
        </row>
        <row r="81">
          <cell r="A81" t="str">
            <v>164/مبنى جرش 2</v>
          </cell>
          <cell r="B81">
            <v>0</v>
          </cell>
        </row>
        <row r="82">
          <cell r="A82" t="str">
            <v>165/خزان بلدة الكته</v>
          </cell>
          <cell r="B82">
            <v>2139200</v>
          </cell>
        </row>
        <row r="83">
          <cell r="A83" t="str">
            <v>167/بئر باب عمان</v>
          </cell>
          <cell r="B83">
            <v>24240</v>
          </cell>
        </row>
        <row r="84">
          <cell r="A84" t="str">
            <v>167/محطة الرياشي</v>
          </cell>
          <cell r="B84">
            <v>981920</v>
          </cell>
        </row>
        <row r="85">
          <cell r="A85" t="str">
            <v>171/محطة تنقية جرش</v>
          </cell>
          <cell r="B85">
            <v>0</v>
          </cell>
        </row>
        <row r="86">
          <cell r="A86" t="str">
            <v>177/بئر الصفاصفه</v>
          </cell>
          <cell r="B86">
            <v>120000</v>
          </cell>
        </row>
        <row r="87">
          <cell r="A87" t="str">
            <v>179/بئر دبين</v>
          </cell>
          <cell r="B87">
            <v>17040</v>
          </cell>
        </row>
        <row r="88">
          <cell r="A88" t="str">
            <v>180/خزان برما</v>
          </cell>
          <cell r="B88">
            <v>3520</v>
          </cell>
        </row>
        <row r="89">
          <cell r="A89" t="str">
            <v>181/محطة الدقمسه</v>
          </cell>
          <cell r="B89">
            <v>556720</v>
          </cell>
        </row>
        <row r="90">
          <cell r="A90" t="str">
            <v>186/خزان البويضه الغربيه</v>
          </cell>
          <cell r="B90">
            <v>1135000</v>
          </cell>
        </row>
        <row r="91">
          <cell r="A91" t="str">
            <v>189/محطة ام اللولو 1</v>
          </cell>
          <cell r="B91">
            <v>0</v>
          </cell>
        </row>
        <row r="92">
          <cell r="A92" t="str">
            <v>189/محطة ام اللولو 2</v>
          </cell>
          <cell r="B92">
            <v>3926100</v>
          </cell>
        </row>
        <row r="93">
          <cell r="A93" t="str">
            <v>191/بوستر حوشا</v>
          </cell>
          <cell r="B93">
            <v>228090</v>
          </cell>
        </row>
        <row r="94">
          <cell r="A94" t="str">
            <v>193/محطة الزنيه</v>
          </cell>
          <cell r="B94">
            <v>2611500</v>
          </cell>
        </row>
        <row r="95">
          <cell r="A95" t="str">
            <v>196/بئر الزنيه رقم 3</v>
          </cell>
          <cell r="B95">
            <v>587760</v>
          </cell>
        </row>
        <row r="96">
          <cell r="A96" t="str">
            <v>197/بئر الزنيه رقم 4</v>
          </cell>
          <cell r="B96">
            <v>60720</v>
          </cell>
        </row>
        <row r="97">
          <cell r="A97" t="str">
            <v>2/مشروع مياه الصريح</v>
          </cell>
          <cell r="B97">
            <v>0</v>
          </cell>
        </row>
        <row r="98">
          <cell r="A98" t="str">
            <v>200/بئر الزنيه رقم 5</v>
          </cell>
          <cell r="B98">
            <v>960</v>
          </cell>
        </row>
        <row r="99">
          <cell r="A99" t="str">
            <v>201/محطة السويلمه</v>
          </cell>
          <cell r="B99">
            <v>1292640</v>
          </cell>
        </row>
        <row r="100">
          <cell r="A100" t="str">
            <v>204/بئر حدود جابر</v>
          </cell>
          <cell r="B100">
            <v>5840</v>
          </cell>
        </row>
        <row r="101">
          <cell r="A101" t="str">
            <v>205/بئر بلدة جابر السرحان</v>
          </cell>
          <cell r="B101">
            <v>601920</v>
          </cell>
        </row>
        <row r="102">
          <cell r="A102" t="str">
            <v>207/بوستر حيان</v>
          </cell>
          <cell r="B102">
            <v>1744800</v>
          </cell>
        </row>
        <row r="103">
          <cell r="A103" t="str">
            <v>207/مبنى المفرق 1</v>
          </cell>
          <cell r="B103">
            <v>55813</v>
          </cell>
        </row>
        <row r="104">
          <cell r="A104" t="str">
            <v>207/مبنى المفرق 2</v>
          </cell>
          <cell r="B104">
            <v>10920</v>
          </cell>
        </row>
        <row r="105">
          <cell r="A105" t="str">
            <v>208/محطة سميا</v>
          </cell>
          <cell r="B105">
            <v>5694000</v>
          </cell>
        </row>
        <row r="106">
          <cell r="A106" t="str">
            <v>212/بئر سميا رقم 6</v>
          </cell>
          <cell r="B106">
            <v>909040</v>
          </cell>
        </row>
        <row r="107">
          <cell r="A107" t="str">
            <v>213/بئر سميا رقم 5</v>
          </cell>
          <cell r="B107">
            <v>80</v>
          </cell>
        </row>
        <row r="108">
          <cell r="A108" t="str">
            <v>214/بئر سميا رقم 3</v>
          </cell>
          <cell r="B108">
            <v>427520</v>
          </cell>
        </row>
        <row r="109">
          <cell r="A109" t="str">
            <v>216/بئر سميا رقم 4</v>
          </cell>
          <cell r="B109">
            <v>337040</v>
          </cell>
        </row>
        <row r="110">
          <cell r="A110" t="str">
            <v>217/بئر سميا رقم 9</v>
          </cell>
          <cell r="B110">
            <v>29760</v>
          </cell>
        </row>
        <row r="111">
          <cell r="A111" t="str">
            <v>218/بئر سميا رقم 8</v>
          </cell>
          <cell r="B111">
            <v>198800</v>
          </cell>
        </row>
        <row r="112">
          <cell r="A112" t="str">
            <v>221/مكتب صيانة الخالديه 1</v>
          </cell>
          <cell r="B112">
            <v>4936</v>
          </cell>
        </row>
        <row r="113">
          <cell r="A113" t="str">
            <v>222/محطة الخالديه 1</v>
          </cell>
          <cell r="B113">
            <v>2123840</v>
          </cell>
        </row>
        <row r="114">
          <cell r="A114" t="str">
            <v>223/بئر الزعتري رقم 5</v>
          </cell>
          <cell r="B114">
            <v>0</v>
          </cell>
        </row>
        <row r="115">
          <cell r="A115" t="str">
            <v>224/بئر الزعتري رقم 7</v>
          </cell>
          <cell r="B115">
            <v>4400</v>
          </cell>
        </row>
        <row r="116">
          <cell r="A116" t="str">
            <v>225/بئر الزعتري رقم 4</v>
          </cell>
          <cell r="B116">
            <v>1360</v>
          </cell>
        </row>
        <row r="117">
          <cell r="A117" t="str">
            <v>226/بئر الزعتري رقم 9</v>
          </cell>
          <cell r="B117">
            <v>30320</v>
          </cell>
        </row>
        <row r="118">
          <cell r="A118" t="str">
            <v>228/بئر الزعتري رقم 3</v>
          </cell>
          <cell r="B118">
            <v>4080</v>
          </cell>
        </row>
        <row r="119">
          <cell r="A119" t="str">
            <v>229/محطة الزعتري 3</v>
          </cell>
          <cell r="B119">
            <v>320</v>
          </cell>
        </row>
        <row r="120">
          <cell r="A120" t="str">
            <v>229/محطة الزعتري 4</v>
          </cell>
          <cell r="B120">
            <v>24640</v>
          </cell>
        </row>
        <row r="121">
          <cell r="A121" t="str">
            <v>229/محطة الزعتري 5</v>
          </cell>
          <cell r="B121">
            <v>0</v>
          </cell>
        </row>
        <row r="122">
          <cell r="A122" t="str">
            <v>229/محطة الزعتري 6</v>
          </cell>
          <cell r="B122">
            <v>2897920</v>
          </cell>
        </row>
        <row r="123">
          <cell r="A123" t="str">
            <v>229/محطة الزعتري 7</v>
          </cell>
          <cell r="B123">
            <v>3200</v>
          </cell>
        </row>
        <row r="124">
          <cell r="A124" t="str">
            <v>230/بئر الزعتري  رقم 6</v>
          </cell>
          <cell r="B124">
            <v>8240</v>
          </cell>
        </row>
        <row r="125">
          <cell r="A125" t="str">
            <v>233/بئر الزعتري رقم 10</v>
          </cell>
          <cell r="B125">
            <v>10880</v>
          </cell>
        </row>
        <row r="126">
          <cell r="A126" t="str">
            <v>234/محطة ام السرب</v>
          </cell>
          <cell r="B126">
            <v>1368360</v>
          </cell>
        </row>
        <row r="127">
          <cell r="A127" t="str">
            <v>240/بئر روضة الاميره بسمه</v>
          </cell>
          <cell r="B127">
            <v>2122680</v>
          </cell>
        </row>
        <row r="128">
          <cell r="A128" t="str">
            <v>241/محطة ام الجمال</v>
          </cell>
          <cell r="B128">
            <v>6560</v>
          </cell>
        </row>
        <row r="129">
          <cell r="A129" t="str">
            <v>242/بئر العاقب ك 90</v>
          </cell>
          <cell r="B129">
            <v>292000</v>
          </cell>
        </row>
        <row r="130">
          <cell r="A130" t="str">
            <v>244/بئر العاقب ك 91.5</v>
          </cell>
          <cell r="B130">
            <v>118560</v>
          </cell>
        </row>
        <row r="131">
          <cell r="A131" t="str">
            <v>245/بئر العاقب ك 94</v>
          </cell>
          <cell r="B131">
            <v>3920</v>
          </cell>
        </row>
        <row r="132">
          <cell r="A132" t="str">
            <v>246/بئر الكوم الاحمر الجديد</v>
          </cell>
          <cell r="B132">
            <v>735600</v>
          </cell>
        </row>
        <row r="133">
          <cell r="A133" t="str">
            <v>247/بئر العاقب ك 93</v>
          </cell>
          <cell r="B133">
            <v>1408960</v>
          </cell>
        </row>
        <row r="134">
          <cell r="A134" t="str">
            <v>248/بئر العاقب ك 93.5</v>
          </cell>
          <cell r="B134">
            <v>736640</v>
          </cell>
        </row>
        <row r="135">
          <cell r="A135" t="str">
            <v>249/بئر العاقب ك 94.5</v>
          </cell>
          <cell r="B135">
            <v>15360</v>
          </cell>
        </row>
        <row r="136">
          <cell r="A136" t="str">
            <v>250/بئر العاقب ك 95</v>
          </cell>
          <cell r="B136">
            <v>736680</v>
          </cell>
        </row>
        <row r="137">
          <cell r="A137" t="str">
            <v>251/بئر العاقب ك 96</v>
          </cell>
          <cell r="B137">
            <v>265200</v>
          </cell>
        </row>
        <row r="138">
          <cell r="A138" t="str">
            <v>252/محطة عمره و عميره</v>
          </cell>
          <cell r="B138">
            <v>1197920</v>
          </cell>
        </row>
        <row r="139">
          <cell r="A139" t="str">
            <v>256/بئر العاقب ك 101</v>
          </cell>
          <cell r="B139">
            <v>1800</v>
          </cell>
        </row>
        <row r="140">
          <cell r="A140" t="str">
            <v>257/محطة صبحا و صبحيه</v>
          </cell>
          <cell r="B140">
            <v>607760</v>
          </cell>
        </row>
        <row r="141">
          <cell r="A141" t="str">
            <v>258/بئر العاقب ك 102</v>
          </cell>
          <cell r="B141">
            <v>912000</v>
          </cell>
        </row>
        <row r="142">
          <cell r="A142" t="str">
            <v>261/بئر العاقب -الكيلو 102.5 أ</v>
          </cell>
          <cell r="B142">
            <v>880320</v>
          </cell>
        </row>
        <row r="143">
          <cell r="A143" t="str">
            <v>262/بئر العاقب ك 103</v>
          </cell>
          <cell r="B143">
            <v>286080</v>
          </cell>
        </row>
        <row r="144">
          <cell r="A144" t="str">
            <v>263/بئر العاقب ك 104</v>
          </cell>
          <cell r="B144">
            <v>530400</v>
          </cell>
        </row>
        <row r="145">
          <cell r="A145" t="str">
            <v>264/بئر العاقب ك 106</v>
          </cell>
          <cell r="B145">
            <v>623600</v>
          </cell>
        </row>
        <row r="146">
          <cell r="A146" t="str">
            <v>266/بئر العاقب ك 107</v>
          </cell>
          <cell r="B146">
            <v>80</v>
          </cell>
        </row>
        <row r="147">
          <cell r="A147" t="str">
            <v>267/بئر العاقب ك 109</v>
          </cell>
          <cell r="B147">
            <v>879480</v>
          </cell>
        </row>
        <row r="148">
          <cell r="A148" t="str">
            <v>269/بئر العاقب ك 110</v>
          </cell>
          <cell r="B148">
            <v>24800</v>
          </cell>
        </row>
        <row r="149">
          <cell r="A149" t="str">
            <v>270/بئر العاقب -الكيلو 111 أ</v>
          </cell>
          <cell r="B149">
            <v>213760</v>
          </cell>
        </row>
        <row r="150">
          <cell r="A150" t="str">
            <v>270/بئر العاقب -الكيلو 111 ب</v>
          </cell>
          <cell r="B150">
            <v>80</v>
          </cell>
        </row>
        <row r="151">
          <cell r="A151" t="str">
            <v>271/بئر العاقب ك 112</v>
          </cell>
          <cell r="B151">
            <v>1108240</v>
          </cell>
        </row>
        <row r="152">
          <cell r="A152" t="str">
            <v>272/بئر العاقب ك 114</v>
          </cell>
          <cell r="B152">
            <v>859920</v>
          </cell>
        </row>
        <row r="153">
          <cell r="A153" t="str">
            <v>273/محطة مكيفته</v>
          </cell>
          <cell r="B153">
            <v>2264400</v>
          </cell>
        </row>
        <row r="154">
          <cell r="A154" t="str">
            <v>274/بئر ك 124</v>
          </cell>
          <cell r="B154">
            <v>1010400</v>
          </cell>
        </row>
        <row r="155">
          <cell r="A155" t="str">
            <v>275/محطة لرفاعيات</v>
          </cell>
          <cell r="B155">
            <v>423200</v>
          </cell>
        </row>
        <row r="156">
          <cell r="A156" t="str">
            <v>278/بئر ك 134</v>
          </cell>
          <cell r="B156">
            <v>681120</v>
          </cell>
        </row>
        <row r="157">
          <cell r="A157" t="str">
            <v>279/محطة ك 134(البشري)</v>
          </cell>
          <cell r="B157">
            <v>1056400</v>
          </cell>
        </row>
        <row r="158">
          <cell r="A158" t="str">
            <v>280/بئر ك 136</v>
          </cell>
          <cell r="B158">
            <v>662280</v>
          </cell>
        </row>
        <row r="159">
          <cell r="A159" t="str">
            <v>281/محطة دير الكهف</v>
          </cell>
          <cell r="B159">
            <v>601200</v>
          </cell>
        </row>
        <row r="160">
          <cell r="A160" t="str">
            <v>282/بئر ك 140</v>
          </cell>
          <cell r="B160">
            <v>545760</v>
          </cell>
        </row>
        <row r="161">
          <cell r="A161" t="str">
            <v>302/بئر الخالديه رقم 30</v>
          </cell>
          <cell r="B161">
            <v>93280</v>
          </cell>
        </row>
        <row r="162">
          <cell r="A162" t="str">
            <v>321/مبنى قصبة اربد 1</v>
          </cell>
          <cell r="B162">
            <v>4824</v>
          </cell>
        </row>
        <row r="163">
          <cell r="A163" t="str">
            <v>321/مبنى قصبة اربد 2</v>
          </cell>
          <cell r="B163">
            <v>60384</v>
          </cell>
        </row>
        <row r="164">
          <cell r="A164" t="str">
            <v>321/مبنى قصبة اربد 3</v>
          </cell>
          <cell r="B164">
            <v>20</v>
          </cell>
        </row>
        <row r="165">
          <cell r="A165" t="str">
            <v>321/مبنى قصبة اربد 4</v>
          </cell>
          <cell r="B165">
            <v>493</v>
          </cell>
        </row>
        <row r="166">
          <cell r="A166" t="str">
            <v>321/مبنى قصبة اربد 5</v>
          </cell>
          <cell r="B166">
            <v>18</v>
          </cell>
        </row>
        <row r="167">
          <cell r="A167" t="str">
            <v>321/مبنى قصبة اربد 6</v>
          </cell>
          <cell r="B167">
            <v>0</v>
          </cell>
        </row>
        <row r="168">
          <cell r="A168" t="str">
            <v>321/مبنى قصبة اربد 7</v>
          </cell>
          <cell r="B168">
            <v>20102</v>
          </cell>
        </row>
        <row r="169">
          <cell r="A169" t="str">
            <v>324/محطة رفع مخيم الحصن</v>
          </cell>
          <cell r="B169">
            <v>154200</v>
          </cell>
        </row>
        <row r="170">
          <cell r="A170" t="str">
            <v>76 / مبنى الكورة</v>
          </cell>
          <cell r="B170">
            <v>541</v>
          </cell>
        </row>
        <row r="171">
          <cell r="A171" t="str">
            <v>INTAKE / المأخذ المحول رقم 1</v>
          </cell>
          <cell r="B171">
            <v>1492900</v>
          </cell>
        </row>
        <row r="172">
          <cell r="A172" t="str">
            <v>INTAKE / المأخذ المحول رقم 2</v>
          </cell>
          <cell r="B172">
            <v>0</v>
          </cell>
        </row>
        <row r="173">
          <cell r="A173" t="str">
            <v>PS0/المنشية المحول المساعد</v>
          </cell>
          <cell r="B173">
            <v>43992</v>
          </cell>
        </row>
        <row r="174">
          <cell r="A174" t="str">
            <v>PS0/المنشية المحول رقم 1</v>
          </cell>
          <cell r="B174">
            <v>3287800</v>
          </cell>
        </row>
        <row r="175">
          <cell r="A175" t="str">
            <v>PS0/المنشية المحول رقم 2</v>
          </cell>
          <cell r="B175">
            <v>10501400</v>
          </cell>
        </row>
        <row r="176">
          <cell r="A176" t="str">
            <v>PS1/طريق البترول المحول المساعد</v>
          </cell>
          <cell r="B176">
            <v>31200</v>
          </cell>
        </row>
        <row r="177">
          <cell r="A177" t="str">
            <v>PS1/طريق البترول المحول رقم 1</v>
          </cell>
          <cell r="B177">
            <v>1394900</v>
          </cell>
        </row>
        <row r="178">
          <cell r="A178" t="str">
            <v>PS1/طريق البترول المحول رقم 2</v>
          </cell>
          <cell r="B178">
            <v>8413800</v>
          </cell>
        </row>
        <row r="179">
          <cell r="A179" t="str">
            <v>PS2/ مخربا المحول المساعد</v>
          </cell>
          <cell r="B179">
            <v>25408</v>
          </cell>
        </row>
        <row r="180">
          <cell r="A180" t="str">
            <v>PS2/ مخربا المحول رقم 1</v>
          </cell>
          <cell r="B180">
            <v>12322000</v>
          </cell>
        </row>
        <row r="181">
          <cell r="A181" t="str">
            <v>PS2/ مخربا المحول رقم 2</v>
          </cell>
          <cell r="B181">
            <v>3495800</v>
          </cell>
        </row>
        <row r="182">
          <cell r="A182" t="str">
            <v>PS3/دير السعنة المحول المساعد</v>
          </cell>
          <cell r="B182">
            <v>20264</v>
          </cell>
        </row>
        <row r="183">
          <cell r="A183" t="str">
            <v>PS3/دير السعنة المحول رقم 1</v>
          </cell>
          <cell r="B183">
            <v>6414500</v>
          </cell>
        </row>
        <row r="184">
          <cell r="A184" t="str">
            <v>PS3/دير السعنة المحول رقم 2</v>
          </cell>
          <cell r="B184">
            <v>9929900</v>
          </cell>
        </row>
        <row r="185">
          <cell r="A185" t="str">
            <v>ابار الكرادور/12</v>
          </cell>
          <cell r="B185">
            <v>12240</v>
          </cell>
        </row>
        <row r="186">
          <cell r="A186" t="str">
            <v>ابار الكرادور/13</v>
          </cell>
          <cell r="B186">
            <v>972320</v>
          </cell>
        </row>
        <row r="187">
          <cell r="A187" t="str">
            <v>ابار الكرادور/15</v>
          </cell>
          <cell r="B187">
            <v>692480</v>
          </cell>
        </row>
        <row r="188">
          <cell r="A188" t="str">
            <v>ابار المجر</v>
          </cell>
          <cell r="B188">
            <v>318960</v>
          </cell>
        </row>
        <row r="189">
          <cell r="A189" t="str">
            <v>الحفره التجميعيه مياه اليرموك</v>
          </cell>
          <cell r="B189">
            <v>2950</v>
          </cell>
        </row>
        <row r="190">
          <cell r="A190" t="str">
            <v>بئر ابو البصل /1</v>
          </cell>
          <cell r="B190">
            <v>10000</v>
          </cell>
        </row>
        <row r="191">
          <cell r="A191" t="str">
            <v>بئر ابو البصل /2</v>
          </cell>
          <cell r="B191">
            <v>369120</v>
          </cell>
        </row>
        <row r="192">
          <cell r="A192" t="str">
            <v>بئر ابو البصل 3</v>
          </cell>
          <cell r="B192">
            <v>358080</v>
          </cell>
        </row>
        <row r="193">
          <cell r="A193" t="str">
            <v>بئر اسعره</v>
          </cell>
          <cell r="B193">
            <v>174400</v>
          </cell>
        </row>
        <row r="194">
          <cell r="A194" t="str">
            <v>بئر الباديه الشماليه/ك117</v>
          </cell>
          <cell r="B194">
            <v>1055680</v>
          </cell>
        </row>
        <row r="195">
          <cell r="A195" t="str">
            <v>بئر الباعج</v>
          </cell>
          <cell r="B195">
            <v>448000</v>
          </cell>
        </row>
        <row r="196">
          <cell r="A196" t="str">
            <v>بئر الباعج 4</v>
          </cell>
          <cell r="B196">
            <v>85800</v>
          </cell>
        </row>
        <row r="197">
          <cell r="A197" t="str">
            <v>بئر البستانه 103</v>
          </cell>
          <cell r="B197">
            <v>382560</v>
          </cell>
        </row>
        <row r="198">
          <cell r="A198" t="str">
            <v>بئر الحرفوشيه</v>
          </cell>
          <cell r="B198">
            <v>193040</v>
          </cell>
        </row>
        <row r="199">
          <cell r="A199" t="str">
            <v>بئر الزنية رقم/6</v>
          </cell>
          <cell r="B199">
            <v>169040</v>
          </cell>
        </row>
        <row r="200">
          <cell r="A200" t="str">
            <v>بئر الصفاوي</v>
          </cell>
          <cell r="B200">
            <v>1280</v>
          </cell>
        </row>
        <row r="201">
          <cell r="A201" t="str">
            <v>بئر العاقب 118</v>
          </cell>
          <cell r="B201">
            <v>1458840</v>
          </cell>
        </row>
        <row r="202">
          <cell r="A202" t="str">
            <v>بئر العاقب 125 ك</v>
          </cell>
          <cell r="B202">
            <v>4500</v>
          </cell>
        </row>
        <row r="203">
          <cell r="A203" t="str">
            <v>بئر العاقب ك 116</v>
          </cell>
          <cell r="B203">
            <v>930600</v>
          </cell>
        </row>
        <row r="204">
          <cell r="A204" t="str">
            <v>بئر العاقب ك 133</v>
          </cell>
          <cell r="B204">
            <v>875160</v>
          </cell>
        </row>
        <row r="205">
          <cell r="A205" t="str">
            <v>بئر العاقب108.5 ك</v>
          </cell>
          <cell r="B205">
            <v>699960</v>
          </cell>
        </row>
        <row r="206">
          <cell r="A206" t="str">
            <v>بئر العاقب119</v>
          </cell>
          <cell r="B206">
            <v>15760</v>
          </cell>
        </row>
        <row r="207">
          <cell r="A207" t="str">
            <v>بئر الكرادور /4</v>
          </cell>
          <cell r="B207">
            <v>884800</v>
          </cell>
        </row>
        <row r="208">
          <cell r="A208" t="str">
            <v>بئر المخيبه الجديد</v>
          </cell>
          <cell r="B208">
            <v>0</v>
          </cell>
        </row>
        <row r="209">
          <cell r="A209" t="str">
            <v>بئر المفردات</v>
          </cell>
          <cell r="B209">
            <v>214560</v>
          </cell>
        </row>
        <row r="210">
          <cell r="A210" t="str">
            <v>بئر المنطقة الاقتصادية /2</v>
          </cell>
          <cell r="B210">
            <v>13760</v>
          </cell>
        </row>
        <row r="211">
          <cell r="A211" t="str">
            <v>بئر المنطقة الاقتصادية/1</v>
          </cell>
          <cell r="B211">
            <v>18240</v>
          </cell>
        </row>
        <row r="212">
          <cell r="A212" t="str">
            <v>بئر النعيمه  5</v>
          </cell>
          <cell r="B212">
            <v>465440</v>
          </cell>
        </row>
        <row r="213">
          <cell r="A213" t="str">
            <v>بئر النعيمه  6</v>
          </cell>
          <cell r="B213">
            <v>498400</v>
          </cell>
        </row>
        <row r="214">
          <cell r="A214" t="str">
            <v>بئر النعيمه/4/سلطة المياه</v>
          </cell>
          <cell r="B214">
            <v>1982600</v>
          </cell>
        </row>
        <row r="215">
          <cell r="A215" t="str">
            <v>بئر ام السرب</v>
          </cell>
          <cell r="B215">
            <v>590800</v>
          </cell>
        </row>
        <row r="216">
          <cell r="A216" t="str">
            <v>بئر برما</v>
          </cell>
          <cell r="B216">
            <v>269600</v>
          </cell>
        </row>
        <row r="217">
          <cell r="A217" t="str">
            <v>بئر تقبل</v>
          </cell>
          <cell r="B217">
            <v>0</v>
          </cell>
        </row>
        <row r="218">
          <cell r="A218" t="str">
            <v>بئر تل الرمان 1</v>
          </cell>
          <cell r="B218">
            <v>335280</v>
          </cell>
        </row>
        <row r="219">
          <cell r="A219" t="str">
            <v>بئر ثغرة الجب</v>
          </cell>
          <cell r="B219">
            <v>147440</v>
          </cell>
        </row>
        <row r="220">
          <cell r="A220" t="str">
            <v>بئر جبيه</v>
          </cell>
          <cell r="B220">
            <v>1083720</v>
          </cell>
        </row>
        <row r="221">
          <cell r="A221" t="str">
            <v>بئر جديتا /3</v>
          </cell>
          <cell r="B221">
            <v>431840</v>
          </cell>
        </row>
        <row r="222">
          <cell r="A222" t="str">
            <v>بئر جسر جابر الحدود رقم/1</v>
          </cell>
          <cell r="B222">
            <v>207760</v>
          </cell>
        </row>
        <row r="223">
          <cell r="A223" t="str">
            <v>بئر حريما رقم 4</v>
          </cell>
          <cell r="B223">
            <v>964400</v>
          </cell>
        </row>
        <row r="224">
          <cell r="A224" t="str">
            <v>بئر حريما رقم 5</v>
          </cell>
          <cell r="B224">
            <v>973360</v>
          </cell>
        </row>
        <row r="225">
          <cell r="A225" t="str">
            <v>بئر حكما 9</v>
          </cell>
          <cell r="B225">
            <v>729280</v>
          </cell>
        </row>
        <row r="226">
          <cell r="A226" t="str">
            <v>بئر حكما رقم 10</v>
          </cell>
          <cell r="B226">
            <v>529840</v>
          </cell>
        </row>
        <row r="227">
          <cell r="A227" t="str">
            <v>بئر زقيق 5</v>
          </cell>
          <cell r="B227">
            <v>313600</v>
          </cell>
        </row>
        <row r="228">
          <cell r="A228" t="str">
            <v>بئر زقيق رقم 4</v>
          </cell>
          <cell r="B228">
            <v>3440</v>
          </cell>
        </row>
        <row r="229">
          <cell r="A229" t="str">
            <v>بئر سلطة المياه الجديد</v>
          </cell>
          <cell r="B229">
            <v>963960</v>
          </cell>
        </row>
        <row r="230">
          <cell r="A230" t="str">
            <v>بئر سلطة المياه رقم109.5</v>
          </cell>
          <cell r="B230">
            <v>1221840</v>
          </cell>
        </row>
        <row r="231">
          <cell r="A231" t="str">
            <v>بئر سلطة المياه/2</v>
          </cell>
          <cell r="B231">
            <v>14480</v>
          </cell>
        </row>
        <row r="232">
          <cell r="A232" t="str">
            <v>بئر سلطة المياه/تلعة الرز</v>
          </cell>
          <cell r="B232">
            <v>0</v>
          </cell>
        </row>
        <row r="233">
          <cell r="A233" t="str">
            <v>بئر سلطة المياه10</v>
          </cell>
          <cell r="B233">
            <v>714800</v>
          </cell>
        </row>
        <row r="234">
          <cell r="A234" t="str">
            <v>بئر سوف /3 الجديد</v>
          </cell>
          <cell r="B234">
            <v>22000</v>
          </cell>
        </row>
        <row r="235">
          <cell r="A235" t="str">
            <v>بئر سويلمه رقم 5</v>
          </cell>
          <cell r="B235">
            <v>470880</v>
          </cell>
        </row>
        <row r="236">
          <cell r="A236" t="str">
            <v>بئر طبقة فحل رقم (1)</v>
          </cell>
          <cell r="B236">
            <v>1407200</v>
          </cell>
        </row>
        <row r="237">
          <cell r="A237" t="str">
            <v>بئر عمره وعميره</v>
          </cell>
          <cell r="B237">
            <v>779040</v>
          </cell>
        </row>
        <row r="238">
          <cell r="A238" t="str">
            <v>بئر عيون الحمام رقم 5</v>
          </cell>
          <cell r="B238">
            <v>251040</v>
          </cell>
        </row>
        <row r="239">
          <cell r="A239" t="str">
            <v>بئر ك 123</v>
          </cell>
          <cell r="B239">
            <v>44160</v>
          </cell>
        </row>
        <row r="240">
          <cell r="A240" t="str">
            <v>بئر ك 124 ب</v>
          </cell>
          <cell r="B240">
            <v>880160</v>
          </cell>
        </row>
        <row r="241">
          <cell r="A241" t="str">
            <v>بئر ك122</v>
          </cell>
          <cell r="B241">
            <v>1487160</v>
          </cell>
        </row>
        <row r="242">
          <cell r="A242" t="str">
            <v>بئر كردور122</v>
          </cell>
          <cell r="B242">
            <v>1495200</v>
          </cell>
        </row>
        <row r="243">
          <cell r="A243" t="str">
            <v>بئر كردور21</v>
          </cell>
          <cell r="B243">
            <v>482960</v>
          </cell>
        </row>
        <row r="244">
          <cell r="A244" t="str">
            <v>بئر كفراسد / 8</v>
          </cell>
          <cell r="B244">
            <v>506000</v>
          </cell>
        </row>
        <row r="245">
          <cell r="A245" t="str">
            <v>بئر كفراسد /بوشهر</v>
          </cell>
          <cell r="B245">
            <v>1484880</v>
          </cell>
        </row>
        <row r="246">
          <cell r="A246" t="str">
            <v>بئر كفراسد 7</v>
          </cell>
          <cell r="B246">
            <v>288480</v>
          </cell>
        </row>
        <row r="247">
          <cell r="A247" t="str">
            <v>بئر كفراسد/5</v>
          </cell>
          <cell r="B247">
            <v>1908800</v>
          </cell>
        </row>
        <row r="248">
          <cell r="A248" t="str">
            <v>بئر كفراسد/6</v>
          </cell>
          <cell r="B248">
            <v>276240</v>
          </cell>
        </row>
        <row r="249">
          <cell r="A249" t="str">
            <v>بئر كفراسد/سلطة المياه</v>
          </cell>
          <cell r="B249">
            <v>802800</v>
          </cell>
        </row>
        <row r="250">
          <cell r="A250" t="str">
            <v>بئر ماء ابو البصل رقم 4</v>
          </cell>
          <cell r="B250">
            <v>10560</v>
          </cell>
        </row>
        <row r="251">
          <cell r="A251" t="str">
            <v>بير ماء بيت ايدس</v>
          </cell>
          <cell r="B251">
            <v>623440</v>
          </cell>
        </row>
        <row r="252">
          <cell r="A252" t="str">
            <v>بئر مرصع /1</v>
          </cell>
          <cell r="B252">
            <v>61920</v>
          </cell>
        </row>
        <row r="253">
          <cell r="A253" t="str">
            <v>بئر مركز حدود جابر /2</v>
          </cell>
          <cell r="B253">
            <v>716520</v>
          </cell>
        </row>
        <row r="254">
          <cell r="A254" t="str">
            <v>بئر مشتل فيصل 7</v>
          </cell>
          <cell r="B254">
            <v>105840</v>
          </cell>
        </row>
        <row r="255">
          <cell r="A255" t="str">
            <v>بئر مشتل فيصل الجديد</v>
          </cell>
          <cell r="B255">
            <v>313360</v>
          </cell>
        </row>
        <row r="256">
          <cell r="A256" t="str">
            <v>بئر مشتل فيصل رقم  4</v>
          </cell>
          <cell r="B256">
            <v>280410</v>
          </cell>
        </row>
        <row r="257">
          <cell r="A257" t="str">
            <v>بئر مشتل فيصل رقم 1</v>
          </cell>
          <cell r="B257">
            <v>273690</v>
          </cell>
        </row>
        <row r="258">
          <cell r="A258" t="str">
            <v>بئر مشتل فيصل رقم 2</v>
          </cell>
          <cell r="B258">
            <v>242490</v>
          </cell>
        </row>
        <row r="259">
          <cell r="A259" t="str">
            <v>بئر مشتل فيصل رقم 3</v>
          </cell>
          <cell r="B259">
            <v>320910</v>
          </cell>
        </row>
        <row r="260">
          <cell r="A260" t="str">
            <v>بئر مغير السرحان</v>
          </cell>
          <cell r="B260">
            <v>819920</v>
          </cell>
        </row>
        <row r="261">
          <cell r="A261" t="str">
            <v>بئر مغير السرحان الجديد</v>
          </cell>
          <cell r="B261">
            <v>36800</v>
          </cell>
        </row>
        <row r="262">
          <cell r="A262" t="str">
            <v>بئر مغير السرحان رق2</v>
          </cell>
          <cell r="B262">
            <v>196160</v>
          </cell>
        </row>
        <row r="263">
          <cell r="A263" t="str">
            <v>بئر ملكا/سلطة المياه</v>
          </cell>
          <cell r="B263">
            <v>1662400</v>
          </cell>
        </row>
        <row r="264">
          <cell r="A264" t="str">
            <v>بئر مندح/4</v>
          </cell>
          <cell r="B264">
            <v>998400</v>
          </cell>
        </row>
        <row r="265">
          <cell r="A265" t="str">
            <v>بئر مندح/5</v>
          </cell>
          <cell r="B265">
            <v>689880</v>
          </cell>
        </row>
        <row r="266">
          <cell r="A266" t="str">
            <v>بئر مندح/رقم/1</v>
          </cell>
          <cell r="B266">
            <v>1371720</v>
          </cell>
        </row>
        <row r="267">
          <cell r="A267" t="str">
            <v>بئر مندح/سلطة المياه/3</v>
          </cell>
          <cell r="B267">
            <v>635360</v>
          </cell>
        </row>
        <row r="268">
          <cell r="A268" t="str">
            <v>بئرالكرادو2</v>
          </cell>
          <cell r="B268">
            <v>1531120</v>
          </cell>
        </row>
        <row r="269">
          <cell r="A269" t="str">
            <v>بئرالكرادور1</v>
          </cell>
          <cell r="B269">
            <v>36800</v>
          </cell>
        </row>
        <row r="270">
          <cell r="A270" t="str">
            <v>بئرالكردور17</v>
          </cell>
          <cell r="B270">
            <v>1064160</v>
          </cell>
        </row>
        <row r="271">
          <cell r="A271" t="str">
            <v>بئرحوشا</v>
          </cell>
          <cell r="B271">
            <v>383760</v>
          </cell>
        </row>
        <row r="272">
          <cell r="A272" t="str">
            <v>بئرصبحا وصبحية المراقبة</v>
          </cell>
          <cell r="B272">
            <v>486560</v>
          </cell>
        </row>
        <row r="273">
          <cell r="A273" t="str">
            <v>بئرضبعان</v>
          </cell>
          <cell r="B273">
            <v>103920</v>
          </cell>
        </row>
        <row r="274">
          <cell r="A274" t="str">
            <v>تفريعة محطة ضخ الزعتري</v>
          </cell>
          <cell r="B274">
            <v>10962000</v>
          </cell>
        </row>
        <row r="275">
          <cell r="A275" t="str">
            <v>خزان بئركريمة</v>
          </cell>
          <cell r="B275">
            <v>746640</v>
          </cell>
        </row>
        <row r="276">
          <cell r="A276" t="str">
            <v>خزان جبه</v>
          </cell>
          <cell r="B276">
            <v>138240</v>
          </cell>
        </row>
        <row r="277">
          <cell r="A277" t="str">
            <v>خزان راجب</v>
          </cell>
          <cell r="B277">
            <v>1068</v>
          </cell>
        </row>
        <row r="278">
          <cell r="A278" t="str">
            <v>خزان راس منيف</v>
          </cell>
          <cell r="B278">
            <v>45360</v>
          </cell>
        </row>
        <row r="279">
          <cell r="A279" t="str">
            <v>خزان مياه الجبل الاخضر</v>
          </cell>
          <cell r="B279">
            <v>46640</v>
          </cell>
        </row>
        <row r="280">
          <cell r="A280" t="str">
            <v>خزان مياه بليلا</v>
          </cell>
          <cell r="B280">
            <v>2765</v>
          </cell>
        </row>
        <row r="281">
          <cell r="A281" t="str">
            <v>خزان مياه بئر العاقب</v>
          </cell>
          <cell r="B281">
            <v>26412</v>
          </cell>
        </row>
        <row r="282">
          <cell r="A282" t="str">
            <v>خزان مياه طبقة فحل</v>
          </cell>
          <cell r="B282">
            <v>11555</v>
          </cell>
        </row>
        <row r="283">
          <cell r="A283" t="str">
            <v>خزان مياه عجلون</v>
          </cell>
          <cell r="B283">
            <v>4727</v>
          </cell>
        </row>
        <row r="284">
          <cell r="A284" t="str">
            <v>خزان مياه عنجره</v>
          </cell>
          <cell r="B284">
            <v>2480</v>
          </cell>
        </row>
        <row r="285">
          <cell r="A285" t="str">
            <v>خزان مياه كفرنجة</v>
          </cell>
          <cell r="B285">
            <v>4823</v>
          </cell>
        </row>
        <row r="286">
          <cell r="A286" t="str">
            <v>خزان مياه كفرنجة السفلي</v>
          </cell>
          <cell r="B286">
            <v>3589</v>
          </cell>
        </row>
        <row r="287">
          <cell r="A287" t="str">
            <v>خزان مياه مخيم جرش</v>
          </cell>
          <cell r="B287">
            <v>3751</v>
          </cell>
        </row>
        <row r="288">
          <cell r="A288" t="str">
            <v>خزان مياه مخيم سوف</v>
          </cell>
          <cell r="B288">
            <v>2793</v>
          </cell>
        </row>
        <row r="289">
          <cell r="A289" t="str">
            <v>خزان مياه معاذ/جديد</v>
          </cell>
          <cell r="B289">
            <v>19123</v>
          </cell>
        </row>
        <row r="290">
          <cell r="A290" t="str">
            <v>دعم خدمات الصرف الصحي</v>
          </cell>
          <cell r="B290">
            <v>23994</v>
          </cell>
        </row>
        <row r="291">
          <cell r="A291" t="str">
            <v>سلطة المياة التحلية</v>
          </cell>
          <cell r="B291">
            <v>2176200</v>
          </cell>
        </row>
        <row r="292">
          <cell r="A292" t="str">
            <v>سلطة المياة بئرام قنطرة</v>
          </cell>
          <cell r="B292">
            <v>95120</v>
          </cell>
        </row>
        <row r="293">
          <cell r="A293" t="str">
            <v>سلطة المياة/ بئر رقم 3</v>
          </cell>
          <cell r="B293">
            <v>165200</v>
          </cell>
        </row>
        <row r="294">
          <cell r="A294" t="str">
            <v>سلطة المياه /بئرالصفاوي/2</v>
          </cell>
          <cell r="B294">
            <v>153400</v>
          </cell>
        </row>
        <row r="295">
          <cell r="A295" t="str">
            <v>سلطة المياه /سكن موظف</v>
          </cell>
          <cell r="B295">
            <v>128</v>
          </cell>
        </row>
        <row r="296">
          <cell r="A296" t="str">
            <v>سلطة المياه وبئر عيون /5</v>
          </cell>
          <cell r="B296">
            <v>706320</v>
          </cell>
        </row>
        <row r="297">
          <cell r="A297" t="str">
            <v>سلطة المياه/ بئر الزبيديه</v>
          </cell>
          <cell r="B297">
            <v>510600</v>
          </cell>
        </row>
        <row r="298">
          <cell r="A298" t="str">
            <v>سلطة المياه/ بئر الكرادور رقم5</v>
          </cell>
          <cell r="B298">
            <v>1433400</v>
          </cell>
        </row>
        <row r="299">
          <cell r="A299" t="str">
            <v>سلطة المياه/ بئر الكرادوررقم6</v>
          </cell>
          <cell r="B299">
            <v>732960</v>
          </cell>
        </row>
        <row r="300">
          <cell r="A300" t="str">
            <v>سلطة المياه/ بئر سميا/12</v>
          </cell>
          <cell r="B300">
            <v>162080</v>
          </cell>
        </row>
        <row r="301">
          <cell r="A301" t="str">
            <v>سلطة المياه/ادارة مياه عج</v>
          </cell>
          <cell r="B301">
            <v>7</v>
          </cell>
        </row>
        <row r="302">
          <cell r="A302" t="str">
            <v>سلطة المياه/بئر الاقتصاديه1</v>
          </cell>
          <cell r="B302">
            <v>17520</v>
          </cell>
        </row>
        <row r="303">
          <cell r="A303" t="str">
            <v>سلطة المياه/بئر العاقب113</v>
          </cell>
          <cell r="B303">
            <v>786080</v>
          </cell>
        </row>
        <row r="304">
          <cell r="A304" t="str">
            <v>سلطة المياه/بئر القنيه</v>
          </cell>
          <cell r="B304">
            <v>751840</v>
          </cell>
        </row>
        <row r="305">
          <cell r="A305" t="str">
            <v>سلطة المياه/بئر الكرادور رقم3</v>
          </cell>
          <cell r="B305">
            <v>1014720</v>
          </cell>
        </row>
        <row r="306">
          <cell r="A306" t="str">
            <v>سلطة المياه/بئر رقم/4</v>
          </cell>
          <cell r="B306">
            <v>374160</v>
          </cell>
        </row>
        <row r="307">
          <cell r="A307" t="str">
            <v>سلطة المياه/بئر قويلبه رقم 1</v>
          </cell>
          <cell r="B307">
            <v>1804200</v>
          </cell>
        </row>
        <row r="308">
          <cell r="A308" t="str">
            <v>سلطة المياه/بئر/20</v>
          </cell>
          <cell r="B308">
            <v>286720</v>
          </cell>
        </row>
        <row r="309">
          <cell r="A309" t="str">
            <v>سلطة المياه/بئر/5</v>
          </cell>
          <cell r="B309">
            <v>12640</v>
          </cell>
        </row>
        <row r="310">
          <cell r="A310" t="str">
            <v>سلطة المياه/بئر7/الزنيه</v>
          </cell>
          <cell r="B310">
            <v>756960</v>
          </cell>
        </row>
        <row r="311">
          <cell r="A311" t="str">
            <v>سلطةالمياه/بئرزقيق رقم 3</v>
          </cell>
          <cell r="B311">
            <v>240</v>
          </cell>
        </row>
        <row r="312">
          <cell r="A312" t="str">
            <v>سلطةالمياه/مستودع زقلاب</v>
          </cell>
          <cell r="B312">
            <v>7858</v>
          </cell>
        </row>
        <row r="313">
          <cell r="A313" t="str">
            <v>سلطه المياه/محطه تنقيه الشلاله</v>
          </cell>
          <cell r="B313">
            <v>5680890</v>
          </cell>
        </row>
        <row r="314">
          <cell r="A314" t="str">
            <v>سلطه مياه/بير عيون الحمام/4</v>
          </cell>
          <cell r="B314">
            <v>296240</v>
          </cell>
        </row>
        <row r="315">
          <cell r="A315" t="str">
            <v>شركة مياه اليرموك</v>
          </cell>
          <cell r="B315">
            <v>572796</v>
          </cell>
        </row>
        <row r="316">
          <cell r="A316" t="str">
            <v>شركة مياه اليرموك  (ذ.م.م)</v>
          </cell>
          <cell r="B316">
            <v>23248</v>
          </cell>
        </row>
        <row r="317">
          <cell r="A317" t="str">
            <v>شركة مياه اليرموك -جرش</v>
          </cell>
          <cell r="B317">
            <v>35759</v>
          </cell>
        </row>
        <row r="318">
          <cell r="A318" t="str">
            <v>شركة مياه اليرموك -وقاص-دير السعنه1</v>
          </cell>
          <cell r="B318">
            <v>8013240</v>
          </cell>
        </row>
        <row r="319">
          <cell r="A319" t="str">
            <v>شركة مياه اليرموك -وقاص-وادي العرب</v>
          </cell>
          <cell r="B319">
            <v>41386307</v>
          </cell>
        </row>
        <row r="320">
          <cell r="A320" t="str">
            <v>شركة مياه اليرموك/ المعالجة</v>
          </cell>
          <cell r="B320">
            <v>3180000</v>
          </cell>
        </row>
        <row r="321">
          <cell r="A321" t="str">
            <v>شركة مياه اليرموك/بئر ام القطي</v>
          </cell>
          <cell r="B321">
            <v>8000</v>
          </cell>
        </row>
        <row r="322">
          <cell r="A322" t="str">
            <v>شركة مياه اليرموك/محطة ضخ2</v>
          </cell>
          <cell r="B322">
            <v>1308240</v>
          </cell>
        </row>
        <row r="323">
          <cell r="A323" t="str">
            <v>شركة مياه اليرموك/محطة ضخ3</v>
          </cell>
          <cell r="B323">
            <v>1607200</v>
          </cell>
        </row>
        <row r="324">
          <cell r="A324" t="str">
            <v>شركة مياه اليرموك-ضخ المنشية</v>
          </cell>
          <cell r="B324">
            <v>5789061</v>
          </cell>
        </row>
        <row r="325">
          <cell r="A325" t="str">
            <v>كتاب سلطة المياه وارد 1573</v>
          </cell>
          <cell r="B325">
            <v>45450</v>
          </cell>
        </row>
        <row r="326">
          <cell r="A326" t="str">
            <v>كهربة بئر سد الوحدة</v>
          </cell>
          <cell r="B326">
            <v>2103360</v>
          </cell>
        </row>
        <row r="327">
          <cell r="A327" t="str">
            <v>كهربة محطة رفع سد الوحدة</v>
          </cell>
          <cell r="B327">
            <v>1586160</v>
          </cell>
        </row>
        <row r="328">
          <cell r="A328" t="str">
            <v>مبنى قطاع الشمال</v>
          </cell>
          <cell r="B328">
            <v>100100</v>
          </cell>
        </row>
        <row r="329">
          <cell r="A329" t="str">
            <v>محطة الشق البارد</v>
          </cell>
          <cell r="B329">
            <v>549760</v>
          </cell>
        </row>
        <row r="330">
          <cell r="A330" t="str">
            <v>محطة تحلية مشتل فيصل</v>
          </cell>
          <cell r="B330">
            <v>6528000</v>
          </cell>
        </row>
        <row r="331">
          <cell r="A331" t="str">
            <v>محطة تنقية الاكيدر</v>
          </cell>
          <cell r="B331">
            <v>250800</v>
          </cell>
        </row>
        <row r="332">
          <cell r="A332" t="str">
            <v>محطة تنقية المعراض/سلطة المياة</v>
          </cell>
          <cell r="B332">
            <v>1911000</v>
          </cell>
        </row>
        <row r="333">
          <cell r="A333" t="str">
            <v>محطة تنقية المفرق</v>
          </cell>
          <cell r="B333">
            <v>1912980</v>
          </cell>
        </row>
        <row r="334">
          <cell r="A334" t="str">
            <v>محطة تنقية حدود جابر</v>
          </cell>
          <cell r="B334">
            <v>0</v>
          </cell>
        </row>
        <row r="335">
          <cell r="A335" t="str">
            <v>محطة تنقية شرق جرش</v>
          </cell>
          <cell r="B335">
            <v>2464900</v>
          </cell>
        </row>
        <row r="336">
          <cell r="A336" t="str">
            <v>محطة رفع سال</v>
          </cell>
          <cell r="B336">
            <v>29120</v>
          </cell>
        </row>
        <row r="337">
          <cell r="A337" t="str">
            <v>محطة رفع صحي بشرى</v>
          </cell>
          <cell r="B337">
            <v>81760</v>
          </cell>
        </row>
        <row r="338">
          <cell r="A338" t="str">
            <v>محطة رفع عين الديك/سلطة المياة</v>
          </cell>
          <cell r="B338">
            <v>261920</v>
          </cell>
        </row>
        <row r="339">
          <cell r="A339" t="str">
            <v>محطة رفع كفرنجه</v>
          </cell>
          <cell r="B339">
            <v>9071</v>
          </cell>
        </row>
        <row r="340">
          <cell r="A340" t="str">
            <v>محطة رفع منشية بني حسن</v>
          </cell>
          <cell r="B340">
            <v>53220</v>
          </cell>
        </row>
        <row r="341">
          <cell r="A341" t="str">
            <v>محطة صرف صحي دوقره</v>
          </cell>
          <cell r="B341">
            <v>31200</v>
          </cell>
        </row>
        <row r="342">
          <cell r="A342" t="str">
            <v>محطة ضخ باتجاة خزانات جرش</v>
          </cell>
          <cell r="B342">
            <v>2417800</v>
          </cell>
        </row>
        <row r="343">
          <cell r="A343" t="str">
            <v>محطة ضخ جبة / سلطة المياة</v>
          </cell>
          <cell r="B343">
            <v>1417320</v>
          </cell>
        </row>
        <row r="344">
          <cell r="A344" t="str">
            <v>محطة ضخ زبدا</v>
          </cell>
          <cell r="B344">
            <v>5486</v>
          </cell>
        </row>
        <row r="345">
          <cell r="A345" t="str">
            <v>محطة مياه تحلية الحمه ن 240</v>
          </cell>
          <cell r="B345">
            <v>1585680</v>
          </cell>
        </row>
        <row r="346">
          <cell r="A346" t="str">
            <v>محول سد الملك طلال</v>
          </cell>
          <cell r="B346">
            <v>91000</v>
          </cell>
        </row>
        <row r="347">
          <cell r="A347" t="str">
            <v>مديرية مياه البادية الشمالية</v>
          </cell>
          <cell r="B347">
            <v>23880</v>
          </cell>
        </row>
        <row r="348">
          <cell r="A348" t="str">
            <v>مديرية مياه لواء الرمثا</v>
          </cell>
          <cell r="B348">
            <v>0</v>
          </cell>
        </row>
        <row r="349">
          <cell r="A349" t="str">
            <v>مديرية مياه لواء الكورة</v>
          </cell>
          <cell r="B349">
            <v>27219</v>
          </cell>
        </row>
        <row r="350">
          <cell r="A350" t="str">
            <v>مشروع توسعة محطة تنقية كفرنجه</v>
          </cell>
          <cell r="B350">
            <v>1297100</v>
          </cell>
        </row>
        <row r="351">
          <cell r="A351" t="str">
            <v>مشروع مياه الصريح /3</v>
          </cell>
          <cell r="B351">
            <v>0</v>
          </cell>
        </row>
        <row r="352">
          <cell r="A352" t="str">
            <v>مشروع مياه الصريح /4</v>
          </cell>
          <cell r="B352">
            <v>0</v>
          </cell>
        </row>
        <row r="353">
          <cell r="A353" t="str">
            <v>مشروع مياه حوارة /2</v>
          </cell>
          <cell r="B353">
            <v>9</v>
          </cell>
        </row>
        <row r="354">
          <cell r="A354" t="str">
            <v>مشروع مياه حوارة/1</v>
          </cell>
          <cell r="B354">
            <v>8</v>
          </cell>
        </row>
        <row r="355">
          <cell r="A355" t="str">
            <v>مضخه بئر كريمه /الفقيررقم (6)</v>
          </cell>
          <cell r="B355">
            <v>0</v>
          </cell>
        </row>
        <row r="356">
          <cell r="A356" t="str">
            <v>مضخه بئركريمه/الاسكان رقم (4+5</v>
          </cell>
          <cell r="B356">
            <v>872160</v>
          </cell>
        </row>
        <row r="357">
          <cell r="A357" t="str">
            <v>ميا5 الاغوار الشاليه (4)/004</v>
          </cell>
          <cell r="B357">
            <v>0</v>
          </cell>
        </row>
        <row r="358">
          <cell r="A358" t="str">
            <v>مياه ابو هابيل اسبيره/011</v>
          </cell>
          <cell r="B358">
            <v>392200</v>
          </cell>
        </row>
        <row r="359">
          <cell r="A359" t="str">
            <v>مياه الاغوار الشمالية-المبنى الجديد</v>
          </cell>
          <cell r="B359">
            <v>38028</v>
          </cell>
        </row>
        <row r="360">
          <cell r="A360" t="str">
            <v>مياه الاغوار بئر كريمه (1)/017</v>
          </cell>
          <cell r="B360">
            <v>306000</v>
          </cell>
        </row>
        <row r="361">
          <cell r="A361" t="str">
            <v>مياه الاغوار كريمه (3)/019</v>
          </cell>
          <cell r="B361">
            <v>218100</v>
          </cell>
        </row>
        <row r="362">
          <cell r="A362" t="str">
            <v>مياه الرويشد /(2)/رقم 2/293</v>
          </cell>
          <cell r="B362">
            <v>503950</v>
          </cell>
        </row>
        <row r="363">
          <cell r="A363" t="str">
            <v>مياه الرويشد /294</v>
          </cell>
          <cell r="B363">
            <v>1676000</v>
          </cell>
        </row>
        <row r="364">
          <cell r="A364" t="str">
            <v>مياه الرويشد/(4)/292</v>
          </cell>
          <cell r="B364">
            <v>295120</v>
          </cell>
        </row>
        <row r="365">
          <cell r="A365" t="str">
            <v>مياه الرويشد/بئر 6</v>
          </cell>
          <cell r="B365">
            <v>563280</v>
          </cell>
        </row>
        <row r="366">
          <cell r="A366" t="str">
            <v>مياه الرويشد\بئر7</v>
          </cell>
          <cell r="B366">
            <v>528600</v>
          </cell>
        </row>
        <row r="367">
          <cell r="A367" t="str">
            <v>مياه الغور الشمالي /م ت /022</v>
          </cell>
          <cell r="B367">
            <v>1484</v>
          </cell>
        </row>
        <row r="368">
          <cell r="A368" t="str">
            <v>مياه الغور الشمالي/صوفره/015</v>
          </cell>
          <cell r="B368">
            <v>5280</v>
          </cell>
        </row>
        <row r="369">
          <cell r="A369" t="str">
            <v>مياه اليرموك / عيون الحمام</v>
          </cell>
          <cell r="B369">
            <v>4275000</v>
          </cell>
        </row>
        <row r="370">
          <cell r="A370" t="str">
            <v>مياه اليرموك بئر البركه 8</v>
          </cell>
          <cell r="B370">
            <v>12840</v>
          </cell>
        </row>
        <row r="371">
          <cell r="A371" t="str">
            <v>مياه اليرموك بئر النعيمه 8</v>
          </cell>
          <cell r="B371">
            <v>466200</v>
          </cell>
        </row>
        <row r="372">
          <cell r="A372" t="str">
            <v>مياه اليرموك/ بئر الطره</v>
          </cell>
          <cell r="B372">
            <v>695520</v>
          </cell>
        </row>
        <row r="373">
          <cell r="A373" t="str">
            <v>مياه اليرموك/بئر الاقتصاديه6</v>
          </cell>
          <cell r="B373">
            <v>974160</v>
          </cell>
        </row>
        <row r="374">
          <cell r="A374" t="str">
            <v>مياه اليرموك/بئر الدفيانه4</v>
          </cell>
          <cell r="B374">
            <v>732640</v>
          </cell>
        </row>
        <row r="375">
          <cell r="A375" t="str">
            <v>مياه اليرموك/بئر جابر 10</v>
          </cell>
          <cell r="B375">
            <v>835200</v>
          </cell>
        </row>
        <row r="376">
          <cell r="A376" t="str">
            <v>مياه اليرموك/بئر جابر رقم9</v>
          </cell>
          <cell r="B376">
            <v>751360</v>
          </cell>
        </row>
        <row r="377">
          <cell r="A377" t="str">
            <v>مياه اليرموك/بئر سد الوحدة 2</v>
          </cell>
          <cell r="B377">
            <v>589200</v>
          </cell>
        </row>
        <row r="378">
          <cell r="A378" t="str">
            <v>مياه اليرموك/بئرابوالفرث</v>
          </cell>
          <cell r="B378">
            <v>1070720</v>
          </cell>
        </row>
        <row r="379">
          <cell r="A379" t="str">
            <v>مياه اليرموك-بئرالكوم الاحمر</v>
          </cell>
          <cell r="B379">
            <v>450720</v>
          </cell>
        </row>
        <row r="380">
          <cell r="A380" t="str">
            <v>مياه بوستر العدسيه/001</v>
          </cell>
          <cell r="B380">
            <v>7700</v>
          </cell>
        </row>
        <row r="381">
          <cell r="A381" t="str">
            <v>مياه بئر السليخات /013</v>
          </cell>
          <cell r="B381">
            <v>72200</v>
          </cell>
        </row>
        <row r="382">
          <cell r="A382" t="str">
            <v>مياه طبقه فحل /008</v>
          </cell>
          <cell r="B382">
            <v>1645500</v>
          </cell>
        </row>
        <row r="383">
          <cell r="A383" t="str">
            <v>نبع راسون</v>
          </cell>
          <cell r="B383">
            <v>328720</v>
          </cell>
        </row>
        <row r="384">
          <cell r="A384" t="str">
            <v>هنجر الكلورين</v>
          </cell>
          <cell r="B384">
            <v>13034</v>
          </cell>
        </row>
        <row r="385">
          <cell r="A385" t="str">
            <v>وزارة المياه والري</v>
          </cell>
          <cell r="B385">
            <v>1130880</v>
          </cell>
        </row>
        <row r="386">
          <cell r="A386" t="str">
            <v>وزارة المياه وري</v>
          </cell>
          <cell r="B386">
            <v>110</v>
          </cell>
        </row>
        <row r="387">
          <cell r="A387" t="str">
            <v>(vide)</v>
          </cell>
          <cell r="B387">
            <v>0</v>
          </cell>
        </row>
        <row r="388">
          <cell r="A388" t="str">
            <v>Total général</v>
          </cell>
          <cell r="B388">
            <v>364410510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Jointure"/>
      <sheetName val="Analysis"/>
      <sheetName val="Feuil4"/>
    </sheetNames>
    <sheetDataSet>
      <sheetData sheetId="0">
        <row r="1">
          <cell r="B1" t="str">
            <v>Name AR - corrected by Muneer</v>
          </cell>
          <cell r="C1" t="str">
            <v>2025-kWh</v>
          </cell>
          <cell r="D1" t="str">
            <v>geom-2</v>
          </cell>
          <cell r="E1" t="str">
            <v>SUBTYPE</v>
          </cell>
          <cell r="F1" t="str">
            <v>FACNAMEAR</v>
          </cell>
          <cell r="G1" t="str">
            <v>FACNAMEEN</v>
          </cell>
        </row>
        <row r="2">
          <cell r="B2" t="str">
            <v xml:space="preserve">محطة ضخ مياه وادي العرب 2 // PS3 اشتراك (3) </v>
          </cell>
          <cell r="C2">
            <v>17383841</v>
          </cell>
          <cell r="D2" t="str">
            <v>01010000201F6E00004514040952D80A41334FEAC6F0540A41</v>
          </cell>
          <cell r="E2">
            <v>4</v>
          </cell>
          <cell r="F2" t="str">
            <v>PS3 محطة ضخ وخزان وادي العرب</v>
          </cell>
          <cell r="G2" t="str">
            <v>Wadi Al Arab PS 3 (New &amp; Old)</v>
          </cell>
        </row>
        <row r="3">
          <cell r="B3" t="str">
            <v xml:space="preserve">محطة ضخ مياه وادي العرب 2 // PS2 اشتراك (3) </v>
          </cell>
          <cell r="C3">
            <v>16831468</v>
          </cell>
          <cell r="D3" t="str">
            <v>01010000201F6E0000D8CF579C3DEB0941B1B7CAC72DFD0A41</v>
          </cell>
          <cell r="E3">
            <v>4</v>
          </cell>
          <cell r="F3" t="str">
            <v>PS2 محطة ضخ وادي العرب</v>
          </cell>
          <cell r="G3" t="str">
            <v>Wadi Al Arab PS2 (New &amp; Old)</v>
          </cell>
        </row>
        <row r="4">
          <cell r="B4" t="str">
            <v>محطة ضخ مياه الزعتري- الغرب</v>
          </cell>
          <cell r="C4">
            <v>11220000</v>
          </cell>
          <cell r="D4" t="str">
            <v>01010000201F6E000007AA062D9BB11041CDB7410FE4720741</v>
          </cell>
          <cell r="E4">
            <v>4</v>
          </cell>
          <cell r="F4" t="str">
            <v>محطة ضخ الزعتري</v>
          </cell>
          <cell r="G4" t="str">
            <v>Al Za'tary PS</v>
          </cell>
        </row>
        <row r="5">
          <cell r="B5" t="str">
            <v>محطة ضخ ومعالجة مياه وادي العرب 2 // PS0 اشتراك (2)</v>
          </cell>
          <cell r="C5">
            <v>8800180</v>
          </cell>
          <cell r="D5" t="str">
            <v>01010000201F6E0000D8B2DC61604C094199D89F574FFC0A41</v>
          </cell>
          <cell r="E5">
            <v>4</v>
          </cell>
          <cell r="F5" t="str">
            <v>محطة ضخ  وادي العرب PS0</v>
          </cell>
          <cell r="G5" t="str">
            <v>Wadi Arab  PS0 (old &amp; New)</v>
          </cell>
        </row>
        <row r="6">
          <cell r="B6" t="str">
            <v>محطة تحلية وضخ مشتل فيصل+ بئر (6)</v>
          </cell>
          <cell r="C6">
            <v>6444000</v>
          </cell>
          <cell r="D6" t="str">
            <v>01010000201F6E0000297C5A4B93920C41EC00EE3F290B0641</v>
          </cell>
          <cell r="E6">
            <v>4</v>
          </cell>
          <cell r="F6" t="str">
            <v>محطة ضخ مشتل فيصل</v>
          </cell>
          <cell r="G6" t="str">
            <v>Mashtal Faysal PS</v>
          </cell>
        </row>
        <row r="7">
          <cell r="B7" t="str">
            <v>محطة ضخ مياه وادي العرب 1 // PS3 // دير السعنه</v>
          </cell>
          <cell r="C7">
            <v>6013261</v>
          </cell>
          <cell r="D7" t="str">
            <v>01010000201F6E00004514040952D80A41334FEAC6F0540A41</v>
          </cell>
          <cell r="E7">
            <v>4</v>
          </cell>
          <cell r="F7" t="str">
            <v>PS3 محطة ضخ وخزان وادي العرب</v>
          </cell>
          <cell r="G7" t="str">
            <v>Wadi Al Arab PS 3 (New &amp; Old)</v>
          </cell>
        </row>
        <row r="8">
          <cell r="B8" t="str">
            <v>محطة تنقية صرف صحي الشلاله</v>
          </cell>
          <cell r="C8">
            <v>5706000</v>
          </cell>
          <cell r="D8" t="str">
            <v>01010000201F6E000058C0C1DFEB040D4171EE8603EDC80A41</v>
          </cell>
          <cell r="E8">
            <v>9</v>
          </cell>
          <cell r="F8" t="str">
            <v>محطة تنقية الشلالة</v>
          </cell>
          <cell r="G8" t="str">
            <v>Alshallala WWTP</v>
          </cell>
        </row>
        <row r="9">
          <cell r="B9" t="str">
            <v>محطة ضخ مياه سميا</v>
          </cell>
          <cell r="C9">
            <v>5472000</v>
          </cell>
          <cell r="D9" t="str">
            <v>01010000201F6E000000000000FC2A104100000000F0160941</v>
          </cell>
          <cell r="E9">
            <v>1</v>
          </cell>
          <cell r="F9" t="str">
            <v>بئر سميا 2</v>
          </cell>
          <cell r="G9" t="str">
            <v>Sumaya  Well02</v>
          </cell>
        </row>
        <row r="10">
          <cell r="B10" t="str">
            <v>محطة ضخ مياه سميا</v>
          </cell>
          <cell r="C10">
            <v>5472000</v>
          </cell>
          <cell r="D10" t="str">
            <v>01010000201F6E000043B71B08E92A1041581D8D7C57170941</v>
          </cell>
          <cell r="E10">
            <v>5</v>
          </cell>
          <cell r="F10" t="str">
            <v>محطة ضخ  سميا 2</v>
          </cell>
          <cell r="G10" t="str">
            <v>Sumaya Well 2 &amp; PS</v>
          </cell>
        </row>
        <row r="11">
          <cell r="B11" t="str">
            <v>محطة ضخ مياه وادي العرب 1 // PS0 // المنشية</v>
          </cell>
          <cell r="C11">
            <v>5361404</v>
          </cell>
          <cell r="D11" t="str">
            <v>01010000201F6E0000D8B2DC61604C094199D89F574FFC0A41</v>
          </cell>
          <cell r="E11">
            <v>4</v>
          </cell>
          <cell r="F11" t="str">
            <v>محطة ضخ  وادي العرب PS0</v>
          </cell>
          <cell r="G11" t="str">
            <v>Wadi Arab  PS0 (old &amp; New)</v>
          </cell>
        </row>
        <row r="12">
          <cell r="B12" t="str">
            <v>محطة ضخ مياه صمد</v>
          </cell>
          <cell r="C12">
            <v>4686000</v>
          </cell>
          <cell r="D12" t="str">
            <v>01010000201F6E00000B26AE8C46ED0B41A509076F0EFE0841</v>
          </cell>
          <cell r="E12">
            <v>4</v>
          </cell>
          <cell r="F12" t="str">
            <v>محطة ضخ  صمد</v>
          </cell>
          <cell r="G12" t="str">
            <v>Samad PS</v>
          </cell>
        </row>
        <row r="13">
          <cell r="B13" t="str">
            <v>محطة ضخ مياه جحفية+ ابار (1)&amp;(2)&amp;(7)</v>
          </cell>
          <cell r="C13">
            <v>4340160</v>
          </cell>
          <cell r="D13" t="str">
            <v>01010000201F6E000058137E7C0EB00B411B96F6565DB60941</v>
          </cell>
          <cell r="E13">
            <v>5</v>
          </cell>
          <cell r="F13" t="str">
            <v>محطة ضخ جحفيه</v>
          </cell>
          <cell r="G13" t="str">
            <v>Juhfiyya PS Well  &amp; Res.</v>
          </cell>
        </row>
        <row r="14">
          <cell r="B14" t="str">
            <v>محطة ضخ مياه أم اللولو</v>
          </cell>
          <cell r="C14">
            <v>4329000</v>
          </cell>
          <cell r="D14" t="str">
            <v>01010000201F6E00008F87F695B0E80E412BF13B5316790841</v>
          </cell>
          <cell r="E14">
            <v>4</v>
          </cell>
          <cell r="F14" t="str">
            <v>محطة ضخ ام اللولو</v>
          </cell>
          <cell r="G14" t="str">
            <v>Um El Lulu PS</v>
          </cell>
        </row>
        <row r="15">
          <cell r="B15" t="str">
            <v>محطة ضخ ومعالجة مياه وادي العرب 2 // PS0 اشتراك (3)</v>
          </cell>
          <cell r="C15">
            <v>3952247</v>
          </cell>
          <cell r="D15" t="str">
            <v>01010000201F6E0000D8B2DC61604C094199D89F574FFC0A41</v>
          </cell>
          <cell r="E15">
            <v>4</v>
          </cell>
          <cell r="F15" t="str">
            <v>محطة ضخ  وادي العرب PS0</v>
          </cell>
          <cell r="G15" t="str">
            <v>Wadi Arab  PS0 (old &amp; New)</v>
          </cell>
        </row>
        <row r="16">
          <cell r="B16" t="str">
            <v>محطة ضخ مياه سد كفرنجة PS1 /+ المعالجة</v>
          </cell>
          <cell r="C16">
            <v>3240000</v>
          </cell>
          <cell r="D16" t="str">
            <v>01010000201F6E000084BBC79E1EBB0941CC7CBA65E7B00641</v>
          </cell>
          <cell r="E16">
            <v>3</v>
          </cell>
          <cell r="F16" t="str">
            <v>بوستر كفرنجة 1</v>
          </cell>
          <cell r="G16" t="str">
            <v>Kufranja Booster 1</v>
          </cell>
        </row>
        <row r="17">
          <cell r="B17" t="str">
            <v>محطة ضخ مياه سد كفرنجة PS1 /+ المعالجة</v>
          </cell>
          <cell r="C17">
            <v>3240000</v>
          </cell>
          <cell r="D17" t="str">
            <v>01010000201F6E0000F31D68F15FBC09415277DBDE2FB00641</v>
          </cell>
          <cell r="E17">
            <v>8</v>
          </cell>
          <cell r="F17" t="str">
            <v>محطة معالجة كفرنجة</v>
          </cell>
          <cell r="G17" t="str">
            <v>Kufranja WTP</v>
          </cell>
        </row>
        <row r="18">
          <cell r="B18" t="str">
            <v>محطة ضخ مياه جديتا+ بئر (1)</v>
          </cell>
          <cell r="C18">
            <v>3129000</v>
          </cell>
          <cell r="D18" t="str">
            <v>01010000201F6E00008BEADD76942A0A415D394B111BA70841</v>
          </cell>
          <cell r="E18">
            <v>5</v>
          </cell>
          <cell r="F18" t="str">
            <v>محطة ضخ مجديتا</v>
          </cell>
          <cell r="G18" t="str">
            <v>Judyta PS</v>
          </cell>
        </row>
        <row r="19">
          <cell r="B19" t="str">
            <v>محطة ضخ مياه جديتا+ بئر (1)</v>
          </cell>
          <cell r="C19">
            <v>3129000</v>
          </cell>
          <cell r="D19" t="str">
            <v>01010000201F6E000037809C9884280A416F3014BEBDA90841</v>
          </cell>
          <cell r="E19">
            <v>1</v>
          </cell>
          <cell r="F19" t="str">
            <v>بئر جديتا 2</v>
          </cell>
          <cell r="G19" t="str">
            <v>Judyta Well 2</v>
          </cell>
        </row>
        <row r="20">
          <cell r="B20" t="str">
            <v>محطة ضخ مياه بشرى+ بئر حكما(3)&amp;(4)</v>
          </cell>
          <cell r="C20">
            <v>2902920</v>
          </cell>
          <cell r="D20" t="str">
            <v>01010000201F6E000037649F2E4F940C415225E6481FF50A41</v>
          </cell>
          <cell r="E20">
            <v>5</v>
          </cell>
          <cell r="F20" t="str">
            <v>محطة ضخ وبئر وخزان  بشرى</v>
          </cell>
          <cell r="G20" t="str">
            <v>Bushra PS Well &amp; Res.</v>
          </cell>
        </row>
        <row r="21">
          <cell r="B21" t="str">
            <v>محطة تنقية صرف صحي دوقرا</v>
          </cell>
          <cell r="C21">
            <v>2847000</v>
          </cell>
          <cell r="D21" t="str">
            <v>01010000201F6E00009EAF2F73CAE20A41C0A6E1F34B510B41</v>
          </cell>
          <cell r="E21">
            <v>9</v>
          </cell>
          <cell r="F21" t="str">
            <v>محطة تنقية دوقره</v>
          </cell>
          <cell r="G21" t="str">
            <v>Dougrah WWTP</v>
          </cell>
        </row>
        <row r="22">
          <cell r="B22" t="str">
            <v>محطة ضخ مياه المكيفته+ بئر (1)&amp;(3)</v>
          </cell>
          <cell r="C22">
            <v>2484000</v>
          </cell>
          <cell r="D22" t="str">
            <v>01010000201F6E0000CE388502B6B912416C4B621E520E0741</v>
          </cell>
          <cell r="E22">
            <v>5</v>
          </cell>
          <cell r="F22" t="str">
            <v>محطة ضخ  المكيفته</v>
          </cell>
          <cell r="G22" t="str">
            <v>Mukefteh PS</v>
          </cell>
        </row>
        <row r="23">
          <cell r="B23" t="str">
            <v>محطة ضخ مياه المكيفته+ بئر (1)&amp;(3)</v>
          </cell>
          <cell r="C23">
            <v>2484000</v>
          </cell>
          <cell r="D23" t="str">
            <v>01010000201F6E00001C942DC039BA12417FA169CCB90D0741</v>
          </cell>
          <cell r="E23">
            <v>1</v>
          </cell>
          <cell r="F23" t="str">
            <v>بئر المكيفتة  1</v>
          </cell>
          <cell r="G23" t="str">
            <v>Mukefteh  Well01</v>
          </cell>
        </row>
        <row r="24">
          <cell r="B24" t="str">
            <v>بئر سد الوحدة (1)</v>
          </cell>
          <cell r="C24">
            <v>2437680</v>
          </cell>
          <cell r="D24" t="str">
            <v>01010000201F6E0000ED2DA41401350C41649524AC6C020D41</v>
          </cell>
          <cell r="E24">
            <v>5</v>
          </cell>
          <cell r="F24" t="str">
            <v>بئر سد الوحدة</v>
          </cell>
          <cell r="G24" t="str">
            <v>Wehdeh Dam Well &amp; PS</v>
          </cell>
        </row>
        <row r="25">
          <cell r="B25" t="str">
            <v>محطة ضخ مياه الزنيه</v>
          </cell>
          <cell r="C25">
            <v>2408100</v>
          </cell>
          <cell r="D25" t="str">
            <v>01010000201F6E0000DADF0F900A120F41466AD38E2E140641</v>
          </cell>
          <cell r="E25">
            <v>5</v>
          </cell>
          <cell r="F25" t="str">
            <v>محطة ضخ  الزنيه</v>
          </cell>
          <cell r="G25" t="str">
            <v>Znaieh PS</v>
          </cell>
        </row>
        <row r="26">
          <cell r="B26" t="str">
            <v>محطة تنقية صرف صحي شرق جرش- اشتراك (2)</v>
          </cell>
          <cell r="C26">
            <v>2256000</v>
          </cell>
          <cell r="D26" t="str">
            <v>01010000201F6E00000000000070A10C4100000000C8B60641</v>
          </cell>
          <cell r="E26">
            <v>9</v>
          </cell>
          <cell r="F26" t="str">
            <v>محطة تنقية جرش</v>
          </cell>
          <cell r="G26" t="str">
            <v>Jerash WWTP</v>
          </cell>
        </row>
        <row r="27">
          <cell r="B27" t="str">
            <v xml:space="preserve">محطة ضخ مياه سد كفرنجة PS3 </v>
          </cell>
          <cell r="C27">
            <v>2247840</v>
          </cell>
          <cell r="D27" t="str">
            <v>01010000201F6E0000D72BF1B1C2320A41DBF21C8C9C170741</v>
          </cell>
          <cell r="E27">
            <v>3</v>
          </cell>
          <cell r="F27" t="str">
            <v>بوستر كفرنجة 3</v>
          </cell>
          <cell r="G27" t="str">
            <v>Kufranja Booster 3</v>
          </cell>
        </row>
        <row r="28">
          <cell r="B28" t="str">
            <v>محطة تنقية صرف صحي الرمثا</v>
          </cell>
          <cell r="C28">
            <v>2206000</v>
          </cell>
          <cell r="D28" t="str">
            <v>01010000201F6E0000F60D8F9747AD0D41016DD27D02250B41</v>
          </cell>
          <cell r="E28">
            <v>9</v>
          </cell>
          <cell r="F28" t="str">
            <v>محطة تنقية الرمثا</v>
          </cell>
          <cell r="G28" t="str">
            <v>Ramtha WWTP</v>
          </cell>
        </row>
        <row r="29">
          <cell r="B29" t="str">
            <v>محطة تحليه وضخ مياه سد الوحدة//PS2</v>
          </cell>
          <cell r="C29">
            <v>2075880</v>
          </cell>
          <cell r="D29" t="str">
            <v>01010000201F6E0000A8CCEF94DE5A0C4170EA6C44E5F90C41</v>
          </cell>
          <cell r="E29">
            <v>8</v>
          </cell>
          <cell r="F29" t="str">
            <v>وحدة معالجة بئر سد الوحدة</v>
          </cell>
          <cell r="G29" t="str">
            <v>Wehdeh Dam WTP</v>
          </cell>
        </row>
        <row r="30">
          <cell r="B30" t="str">
            <v>محطة رفع صرف صحي المفرق</v>
          </cell>
          <cell r="C30">
            <v>2068080</v>
          </cell>
          <cell r="D30" t="str">
            <v>01010000201F6E000076961C34743D1041331A979D99770741</v>
          </cell>
          <cell r="E30">
            <v>10</v>
          </cell>
          <cell r="F30" t="str">
            <v>محطة رفع المفرق</v>
          </cell>
          <cell r="G30" t="str">
            <v>Mafraq LS</v>
          </cell>
        </row>
        <row r="31">
          <cell r="B31" t="str">
            <v>محطة تنقية صرف صحي المفرق</v>
          </cell>
          <cell r="C31">
            <v>2068080</v>
          </cell>
          <cell r="D31" t="str">
            <v>01010000201F6E00000629EC0E982C1041508AF3F4E48C0841</v>
          </cell>
          <cell r="E31">
            <v>9</v>
          </cell>
          <cell r="F31" t="str">
            <v>محطة تنقية المفرق</v>
          </cell>
          <cell r="G31" t="str">
            <v>Mafraq WWTP</v>
          </cell>
        </row>
        <row r="32">
          <cell r="B32" t="str">
            <v>محطة ضخ مياه القويلبة+ بئر (1)</v>
          </cell>
          <cell r="C32">
            <v>2008080</v>
          </cell>
          <cell r="D32" t="str">
            <v>01010000201F6E0000E52CB0B2F2500C41A70C12DA86630C41</v>
          </cell>
          <cell r="E32">
            <v>5</v>
          </cell>
          <cell r="F32" t="str">
            <v>محطة ضخ قويلبه</v>
          </cell>
          <cell r="G32" t="str">
            <v>Qwailbeh PS</v>
          </cell>
        </row>
        <row r="33">
          <cell r="B33" t="str">
            <v>محطة تحلية كريمه+ بئر (4)(5)</v>
          </cell>
          <cell r="C33">
            <v>2004200</v>
          </cell>
          <cell r="D33" t="str">
            <v>01010000201F6E00005914E7A697400941EE5CB19393B30641</v>
          </cell>
          <cell r="E33">
            <v>8</v>
          </cell>
          <cell r="F33" t="str">
            <v>محطة تحلية الكريمة</v>
          </cell>
          <cell r="G33" t="str">
            <v>Al Kraymeh WTP</v>
          </cell>
        </row>
        <row r="34">
          <cell r="B34" t="str">
            <v>محطة ضخ مياه بوستر جرش</v>
          </cell>
          <cell r="C34">
            <v>2001000</v>
          </cell>
          <cell r="D34" t="str">
            <v>01010000201F6E0000DFDC4BE077980C418C8EFCCD02770641</v>
          </cell>
          <cell r="E34">
            <v>4</v>
          </cell>
          <cell r="F34" t="str">
            <v>بوستر جرش</v>
          </cell>
          <cell r="G34" t="str">
            <v>Jarash Bosster</v>
          </cell>
        </row>
        <row r="35">
          <cell r="B35" t="str">
            <v>بئر ومحطة ضخ مياه كفراسد (6)</v>
          </cell>
          <cell r="C35">
            <v>1965400</v>
          </cell>
          <cell r="D35" t="str">
            <v>01010000201F6E0000BFC3A8870D810A4160905354B1850B41</v>
          </cell>
          <cell r="E35">
            <v>6</v>
          </cell>
          <cell r="F35" t="str">
            <v>بئر وخزان  كفر اسد 6</v>
          </cell>
          <cell r="G35" t="str">
            <v>Kufr Asad  Weel6 $ Res.</v>
          </cell>
        </row>
        <row r="36">
          <cell r="B36" t="str">
            <v>محطة تنقية صرف صحي المعراض</v>
          </cell>
          <cell r="C36">
            <v>1878000</v>
          </cell>
          <cell r="D36" t="str">
            <v>01010000201F6E000011C0CADD426B0C41CC1EB2D90F800641</v>
          </cell>
          <cell r="E36">
            <v>9</v>
          </cell>
          <cell r="F36" t="str">
            <v>محطة تنقية المعراض</v>
          </cell>
          <cell r="G36" t="str">
            <v>Alme'rad WWTP</v>
          </cell>
        </row>
        <row r="37">
          <cell r="B37" t="str">
            <v>محطة ضخ مياه ونبع عين الديك + نبع عين التيس</v>
          </cell>
          <cell r="C37">
            <v>1872640</v>
          </cell>
          <cell r="D37" t="str">
            <v>01010000201F6E0000C4C899DF68130C418F8B0B5557B20641</v>
          </cell>
          <cell r="E37">
            <v>5</v>
          </cell>
          <cell r="F37" t="str">
            <v>محطة ضخ عين الديك</v>
          </cell>
          <cell r="G37" t="str">
            <v>Ain Al Deek PS</v>
          </cell>
        </row>
        <row r="38">
          <cell r="B38" t="str">
            <v>بئر ومحطة ضخ مياه النعيمة (4)</v>
          </cell>
          <cell r="C38">
            <v>1853400</v>
          </cell>
          <cell r="D38" t="str">
            <v>01010000201F6E00002FD038C027060D41662AAAF816B60841</v>
          </cell>
          <cell r="E38">
            <v>5</v>
          </cell>
          <cell r="F38" t="str">
            <v>محطة ضخ نعيمة 4</v>
          </cell>
          <cell r="G38" t="str">
            <v>No'aymeh Well 4</v>
          </cell>
        </row>
        <row r="39">
          <cell r="B39" t="str">
            <v>بئر ومحطة ضخ مياه روضة الاميره بسمه</v>
          </cell>
          <cell r="C39">
            <v>1842600</v>
          </cell>
          <cell r="D39" t="str">
            <v>01010000201F6E0000BE36592DFD12114121C464F2DB1D0741</v>
          </cell>
          <cell r="E39">
            <v>5</v>
          </cell>
          <cell r="F39" t="str">
            <v>محطة ضخ روضة الأميرة بسمة</v>
          </cell>
          <cell r="G39" t="str">
            <v>Rawdah Ameera Basma  PS &amp; Well</v>
          </cell>
        </row>
        <row r="40">
          <cell r="B40" t="str">
            <v>محطة ضخ مياه زقيق (2)</v>
          </cell>
          <cell r="C40">
            <v>1824600</v>
          </cell>
          <cell r="D40" t="str">
            <v>01010000201F6E00005FDEF109E4CE0941DE0080BFF64A0841</v>
          </cell>
          <cell r="E40">
            <v>4</v>
          </cell>
          <cell r="F40" t="str">
            <v>محطة ضخ  زقيق 2</v>
          </cell>
          <cell r="G40" t="str">
            <v>Zuqaq PS 2</v>
          </cell>
        </row>
        <row r="41">
          <cell r="B41" t="str">
            <v>محطة ضخ مياه حيان</v>
          </cell>
          <cell r="C41">
            <v>1809120</v>
          </cell>
          <cell r="D41" t="str">
            <v>01010000201F6E00003739ADC59E221041B26BA255E5010841</v>
          </cell>
          <cell r="E41">
            <v>11</v>
          </cell>
          <cell r="F41" t="str">
            <v>ادارة مياة  المفرق</v>
          </cell>
          <cell r="G41" t="str">
            <v>AL Mafraq ROU Office</v>
          </cell>
        </row>
        <row r="42">
          <cell r="B42" t="str">
            <v>محطة ضخ مياه حيان</v>
          </cell>
          <cell r="C42">
            <v>1809120</v>
          </cell>
          <cell r="D42" t="str">
            <v>01010000201F6E00000E65852F50221041C9B87DA347000841</v>
          </cell>
          <cell r="E42">
            <v>3</v>
          </cell>
          <cell r="F42" t="str">
            <v>بوستر حيان</v>
          </cell>
          <cell r="G42" t="str">
            <v>Hayyan Booster</v>
          </cell>
        </row>
        <row r="43">
          <cell r="B43" t="str">
            <v>محطة ضخ مياه ملكا</v>
          </cell>
          <cell r="C43">
            <v>1754240</v>
          </cell>
          <cell r="D43" t="str">
            <v>01010000201F6E0000442CCA3EB6EB0A417B60BC6CA2F90B41</v>
          </cell>
          <cell r="E43">
            <v>5</v>
          </cell>
          <cell r="F43" t="str">
            <v>محطة ضخ وبئر وخزان ملكا</v>
          </cell>
          <cell r="G43" t="str">
            <v>Malka PS @ Well @ reservoir</v>
          </cell>
        </row>
        <row r="44">
          <cell r="B44" t="str">
            <v xml:space="preserve">محطة ضخ مياه سد كفرنجة PS2 </v>
          </cell>
          <cell r="C44">
            <v>1739760</v>
          </cell>
          <cell r="D44" t="str">
            <v>01010000201F6E0000696F07AD1EF50941582C3641AEAC0641</v>
          </cell>
          <cell r="E44">
            <v>3</v>
          </cell>
          <cell r="F44" t="str">
            <v>بوستر  كفرنجة 2</v>
          </cell>
          <cell r="G44" t="str">
            <v>Kufranja Booster 2</v>
          </cell>
        </row>
        <row r="45">
          <cell r="B45" t="str">
            <v>بئر العاقب ك 118</v>
          </cell>
          <cell r="C45">
            <v>1702440</v>
          </cell>
          <cell r="D45" t="str">
            <v>01010000201F6E000047034C82FBD212410828158416E50541</v>
          </cell>
          <cell r="E45">
            <v>1</v>
          </cell>
          <cell r="F45" t="str">
            <v>بئر ك 118</v>
          </cell>
          <cell r="G45" t="str">
            <v>K118 Well</v>
          </cell>
        </row>
        <row r="46">
          <cell r="B46" t="str">
            <v>محطة ضخ مياه سيفين</v>
          </cell>
          <cell r="C46">
            <v>1621440</v>
          </cell>
          <cell r="D46" t="str">
            <v>01010000201F6E00003D92946C06890A4183662787E1A50B41</v>
          </cell>
          <cell r="E46">
            <v>4</v>
          </cell>
          <cell r="F46" t="str">
            <v>محطة ضخ سيفين</v>
          </cell>
          <cell r="G46" t="str">
            <v>Syfeen PS</v>
          </cell>
        </row>
        <row r="47">
          <cell r="B47" t="str">
            <v>بئر الكوريدور (22)</v>
          </cell>
          <cell r="C47">
            <v>1589280</v>
          </cell>
          <cell r="D47" t="str">
            <v>01010000201F6E0000849F81C9BDD81141DF23C7F42C810541</v>
          </cell>
          <cell r="E47">
            <v>1</v>
          </cell>
          <cell r="F47" t="str">
            <v>بئر الكردور22</v>
          </cell>
          <cell r="G47" t="str">
            <v>Corodor 22</v>
          </cell>
        </row>
        <row r="48">
          <cell r="B48" t="str">
            <v xml:space="preserve"> محطة ضخ مياه الزعتري (6)</v>
          </cell>
          <cell r="C48">
            <v>1581760</v>
          </cell>
          <cell r="D48" t="str">
            <v>01010000201F6E000007AA062D9BB11041CDB7410FE4720741</v>
          </cell>
          <cell r="E48">
            <v>4</v>
          </cell>
          <cell r="F48" t="str">
            <v>محطة ضخ الزعتري</v>
          </cell>
          <cell r="G48" t="str">
            <v>Al Za'tary PS</v>
          </cell>
        </row>
        <row r="49">
          <cell r="B49" t="str">
            <v>محطة تنقية صرف صحي كفرنجة- اشتراك (2)</v>
          </cell>
          <cell r="C49">
            <v>1518000</v>
          </cell>
          <cell r="D49" t="str">
            <v>01010000201F6E0000A4A49A42C4310A4100BD8353271D0741</v>
          </cell>
          <cell r="E49">
            <v>9</v>
          </cell>
          <cell r="F49" t="str">
            <v>محطة تنقية كفرنجة</v>
          </cell>
          <cell r="G49" t="str">
            <v>Kofranja WWTP</v>
          </cell>
        </row>
        <row r="50">
          <cell r="B50" t="str">
            <v>بئر الكوريدور (2)</v>
          </cell>
          <cell r="C50">
            <v>1496720</v>
          </cell>
          <cell r="D50" t="str">
            <v>01010000201F6E0000F4E2348730EC114128AAE6A1FDE80541</v>
          </cell>
          <cell r="E50">
            <v>1</v>
          </cell>
          <cell r="F50" t="str">
            <v>بئر الكردور 2</v>
          </cell>
          <cell r="G50" t="str">
            <v>Corodor 2</v>
          </cell>
        </row>
        <row r="51">
          <cell r="B51" t="str">
            <v>بئر العاقب ك 122</v>
          </cell>
          <cell r="C51">
            <v>1476840</v>
          </cell>
          <cell r="D51" t="str">
            <v>01010000201F6E0000D43213664FEE12412EE4B7BAFFD30541</v>
          </cell>
          <cell r="E51">
            <v>1</v>
          </cell>
          <cell r="F51" t="str">
            <v>بئر ك 122</v>
          </cell>
          <cell r="G51" t="str">
            <v>K122 Well</v>
          </cell>
        </row>
        <row r="52">
          <cell r="B52" t="str">
            <v>محطة ضخ مياه طبقة فحل+ ابار (1)(5)(6)(8)(10)(11)</v>
          </cell>
          <cell r="C52">
            <v>1462500</v>
          </cell>
          <cell r="D52" t="str">
            <v>01010000201F6E0000DCDE9665D06609419F73930BC12A0941</v>
          </cell>
          <cell r="E52">
            <v>1</v>
          </cell>
          <cell r="F52" t="str">
            <v>بئر طبقة فحل  10-3-5-1-8-6</v>
          </cell>
          <cell r="G52" t="str">
            <v>Tabagat Fahel  Well 10-3-5-1-8-6</v>
          </cell>
        </row>
        <row r="53">
          <cell r="B53" t="str">
            <v>محطة ضخ مياه طبقة فحل+ ابار (1)(5)(6)(8)(10)(11)</v>
          </cell>
          <cell r="C53">
            <v>1462500</v>
          </cell>
          <cell r="D53" t="str">
            <v>01010000201F6E000005001153056409412338006B1E2C0941</v>
          </cell>
          <cell r="E53">
            <v>1</v>
          </cell>
          <cell r="F53" t="str">
            <v>بئر طبقة فحل11</v>
          </cell>
          <cell r="G53" t="str">
            <v>Tabagat Fahel Well 11</v>
          </cell>
        </row>
        <row r="54">
          <cell r="B54" t="str">
            <v>محطة ضخ مياه بوستر الأشرفيه+ بئر كفرالماء (1أ)</v>
          </cell>
          <cell r="C54">
            <v>1450200</v>
          </cell>
          <cell r="D54" t="str">
            <v>01010000201F6E00000881F743B33C0A410D5D307FC18E0941</v>
          </cell>
          <cell r="E54">
            <v>3</v>
          </cell>
          <cell r="F54" t="str">
            <v>بوستر الاشرفيه</v>
          </cell>
          <cell r="G54" t="str">
            <v>Al Ashrafiyya  Booster</v>
          </cell>
        </row>
        <row r="55">
          <cell r="B55" t="str">
            <v>محطة ضخ مياه عمره وعميره+ بئر (2)</v>
          </cell>
          <cell r="C55">
            <v>1442400</v>
          </cell>
          <cell r="D55" t="str">
            <v>01010000201F6E00009AE45BB39E751141702FB4EC0A590741</v>
          </cell>
          <cell r="E55">
            <v>5</v>
          </cell>
          <cell r="F55" t="str">
            <v>محطة ضخ وآبار عمره و عميره</v>
          </cell>
          <cell r="G55" t="str">
            <v>Amra and Amira Wells &amp; PS</v>
          </cell>
        </row>
        <row r="56">
          <cell r="B56" t="str">
            <v>بئر  ابو ذابلة- طبقة فحل</v>
          </cell>
          <cell r="C56">
            <v>1401200</v>
          </cell>
          <cell r="D56" t="str">
            <v>01010000201F6E0000CBE383DBF3840941612BB10DF04A0941</v>
          </cell>
          <cell r="E56">
            <v>1</v>
          </cell>
          <cell r="F56" t="str">
            <v>بئر طبقة فحل 1</v>
          </cell>
          <cell r="G56" t="str">
            <v>Tabagat Fahel  Well  1</v>
          </cell>
        </row>
        <row r="57">
          <cell r="B57" t="str">
            <v>بئر ومحطة ضخ مياه مندح (1)</v>
          </cell>
          <cell r="C57">
            <v>1401000</v>
          </cell>
          <cell r="D57" t="str">
            <v>01010000201F6E00005FF30041DC4B0A4131E2CBCFD77F0A41</v>
          </cell>
          <cell r="E57">
            <v>5</v>
          </cell>
          <cell r="F57" t="str">
            <v>محطة ضخ وخزان وبئر مندح 1</v>
          </cell>
          <cell r="G57" t="str">
            <v>Mandah PS1 Well &amp; Res.</v>
          </cell>
        </row>
        <row r="58">
          <cell r="B58" t="str">
            <v>محطة ضخ مياه حريما+ بئر (1)</v>
          </cell>
          <cell r="C58">
            <v>1387920</v>
          </cell>
          <cell r="D58" t="str">
            <v>01010000201F6E0000231A881A3E730C417DBEB6AE50B40B41</v>
          </cell>
          <cell r="E58">
            <v>5</v>
          </cell>
          <cell r="F58" t="str">
            <v>محطة ضخ  حريما</v>
          </cell>
          <cell r="G58" t="str">
            <v>Harima PS</v>
          </cell>
        </row>
        <row r="59">
          <cell r="B59" t="str">
            <v>محطة ضخ مياه اشتفينا</v>
          </cell>
          <cell r="C59">
            <v>1378900</v>
          </cell>
          <cell r="D59" t="str">
            <v>01010000201F6E0000CE1E502C37D40A41C3A5727A0FE80741</v>
          </cell>
          <cell r="E59">
            <v>4</v>
          </cell>
          <cell r="F59" t="str">
            <v>خزان ومحطة  ضخ اشتفينا</v>
          </cell>
          <cell r="G59" t="str">
            <v>Ishtafina PS</v>
          </cell>
        </row>
        <row r="60">
          <cell r="B60" t="str">
            <v>محطة تنقية صرف صحي وادي حسان</v>
          </cell>
          <cell r="C60">
            <v>1359000</v>
          </cell>
          <cell r="D60" t="str">
            <v>01010000201F6E00005708AE6B94660D41093808D195E50841</v>
          </cell>
          <cell r="E60">
            <v>9</v>
          </cell>
          <cell r="F60" t="str">
            <v>محطة تنقية وادي حسان</v>
          </cell>
          <cell r="G60" t="str">
            <v>Wadi Hassan WWTP</v>
          </cell>
        </row>
        <row r="61">
          <cell r="B61" t="str">
            <v xml:space="preserve"> محطة ضخ مياه سويلمة</v>
          </cell>
          <cell r="C61">
            <v>1356000</v>
          </cell>
          <cell r="D61" t="str">
            <v>01010000201F6E000049C45B0F8D960F4154241C352DE40941</v>
          </cell>
          <cell r="E61">
            <v>1</v>
          </cell>
          <cell r="F61" t="str">
            <v>بئر السويلمه رقم 3</v>
          </cell>
          <cell r="G61" t="str">
            <v>Suwelmeh Well 3</v>
          </cell>
        </row>
        <row r="62">
          <cell r="B62" t="str">
            <v>محطة ضخ مياه الحدود</v>
          </cell>
          <cell r="C62">
            <v>1354800</v>
          </cell>
          <cell r="D62" t="str">
            <v>01010000201F6E000056249021B8380E417C37D23939D70A41</v>
          </cell>
          <cell r="E62">
            <v>5</v>
          </cell>
          <cell r="F62" t="str">
            <v>محطة ضخ وبئر وخزان الحدود</v>
          </cell>
          <cell r="G62" t="str">
            <v>AL Hodoud PS &amp; Well &amp; Re.</v>
          </cell>
        </row>
        <row r="63">
          <cell r="B63" t="str">
            <v>بئر زقيق (2)- حلاوة (2)</v>
          </cell>
          <cell r="C63">
            <v>1351920</v>
          </cell>
          <cell r="D63" t="str">
            <v>01010000201F6E0000471AEF89A2AA0941FFCB8482CB480841</v>
          </cell>
          <cell r="E63">
            <v>5</v>
          </cell>
          <cell r="F63" t="str">
            <v>(محطة ضخ حلاوه (زقيق 2</v>
          </cell>
          <cell r="G63" t="str">
            <v>Halawa (Zuqaq 2)  PS</v>
          </cell>
        </row>
        <row r="64">
          <cell r="B64" t="str">
            <v>بئر ومحطة ضخ مياه العاقب ك 93</v>
          </cell>
          <cell r="C64">
            <v>1340000</v>
          </cell>
          <cell r="D64" t="str">
            <v>01010000201F6E000005D5F835884E1141C912C77726F50641</v>
          </cell>
          <cell r="E64">
            <v>7</v>
          </cell>
          <cell r="F64" t="str">
            <v>محطة ضخ  ك 93</v>
          </cell>
          <cell r="G64" t="str">
            <v>K093 PS</v>
          </cell>
        </row>
        <row r="65">
          <cell r="B65" t="str">
            <v>محطة ضخ مياه زقيق (3)</v>
          </cell>
          <cell r="C65">
            <v>1326800</v>
          </cell>
          <cell r="D65" t="str">
            <v>01010000201F6E0000F45B6F02EC140A417022430BB1290841</v>
          </cell>
          <cell r="E65">
            <v>4</v>
          </cell>
          <cell r="F65" t="str">
            <v>محطة ضخ  زقيق رقم 3</v>
          </cell>
          <cell r="G65" t="str">
            <v>Zuqaq PS 3</v>
          </cell>
        </row>
        <row r="66">
          <cell r="B66" t="str">
            <v>محطة ضخ مياه باعون</v>
          </cell>
          <cell r="C66">
            <v>1268040</v>
          </cell>
          <cell r="D66" t="str">
            <v>01010000201F6E000004EF0663B5B70A416B173EE1ED430841</v>
          </cell>
          <cell r="E66">
            <v>4</v>
          </cell>
          <cell r="F66" t="str">
            <v>محطة  ضخ باعون</v>
          </cell>
          <cell r="G66" t="str">
            <v>Ba'oon PS</v>
          </cell>
        </row>
        <row r="67">
          <cell r="B67" t="str">
            <v>بئر العاقب ك 133</v>
          </cell>
          <cell r="C67">
            <v>1242120</v>
          </cell>
          <cell r="D67" t="str">
            <v>01010000201F6E000000000000E4A4134100000000A8500541</v>
          </cell>
          <cell r="E67">
            <v>7</v>
          </cell>
          <cell r="F67" t="str">
            <v>محطة ضخ  ك133</v>
          </cell>
          <cell r="G67" t="str">
            <v>K133  PS</v>
          </cell>
        </row>
        <row r="68">
          <cell r="B68" t="str">
            <v>محطة ضخ مياه جبه</v>
          </cell>
          <cell r="C68">
            <v>1231680</v>
          </cell>
          <cell r="D68" t="str">
            <v>01010000201F6E0000B177A0CC81AB0C41E01BD148F9AB0541</v>
          </cell>
          <cell r="E68">
            <v>4</v>
          </cell>
          <cell r="F68" t="str">
            <v>بوستر جبة</v>
          </cell>
          <cell r="G68" t="str">
            <v>Juba Booster</v>
          </cell>
        </row>
        <row r="69">
          <cell r="B69" t="str">
            <v xml:space="preserve"> محطة ضخ مياه ام السرب+ بئر (1)&amp;(2)</v>
          </cell>
          <cell r="C69">
            <v>1218360</v>
          </cell>
          <cell r="D69" t="str">
            <v>01010000201F6E00003583DA5332C1104112445A2F20D00841</v>
          </cell>
          <cell r="E69">
            <v>5</v>
          </cell>
          <cell r="F69" t="str">
            <v>محطة ضخ  ام  السرب</v>
          </cell>
          <cell r="G69" t="str">
            <v>Um Es Serb PS</v>
          </cell>
        </row>
        <row r="70">
          <cell r="B70" t="str">
            <v>بئر العاقب ك 123</v>
          </cell>
          <cell r="C70">
            <v>1213200</v>
          </cell>
          <cell r="D70" t="str">
            <v>01010000201F6E000048701D3D20FB12414A457B8E02C80541</v>
          </cell>
          <cell r="E70">
            <v>1</v>
          </cell>
          <cell r="F70" t="str">
            <v>بئر ك 123</v>
          </cell>
          <cell r="G70" t="str">
            <v>K123 Well</v>
          </cell>
        </row>
        <row r="71">
          <cell r="B71" t="str">
            <v>محطة ضخ مياه ونبع عين التنور</v>
          </cell>
          <cell r="C71">
            <v>1203200</v>
          </cell>
          <cell r="D71" t="str">
            <v>01010000201F6E00000000000048DF0A410000000030960841</v>
          </cell>
          <cell r="E71">
            <v>2</v>
          </cell>
          <cell r="F71" t="str">
            <v>(مخزن أبو الهوى (عرجا</v>
          </cell>
          <cell r="G71" t="str">
            <v>Abu Al Hawa/ Urjan Store</v>
          </cell>
        </row>
        <row r="72">
          <cell r="B72" t="str">
            <v>محطة ضخ مياه كفراسد// PS1 + بئر (1)</v>
          </cell>
          <cell r="C72">
            <v>1196400</v>
          </cell>
          <cell r="D72" t="str">
            <v>01010000201F6E0000408E6726DB6E0A41F78445E1DF560B41</v>
          </cell>
          <cell r="E72">
            <v>6</v>
          </cell>
          <cell r="F72" t="str">
            <v>بئر وخزان كفراسد 7</v>
          </cell>
          <cell r="G72" t="str">
            <v>Kufr Asad Well 7 &amp; Res.</v>
          </cell>
        </row>
        <row r="73">
          <cell r="B73" t="str">
            <v>محطة ضخ مياه ونبع عين القنطرة</v>
          </cell>
          <cell r="C73">
            <v>1176120</v>
          </cell>
          <cell r="D73" t="str">
            <v>01010000201F6E0000C070D54D42DD0A41733D81C9A37A0741</v>
          </cell>
          <cell r="E73">
            <v>5</v>
          </cell>
          <cell r="F73" t="str">
            <v>محطة ضخ القنطرة</v>
          </cell>
          <cell r="G73" t="str">
            <v>Qantara PS</v>
          </cell>
        </row>
        <row r="74">
          <cell r="B74" t="str">
            <v>محطة ضخ مياه البويضة</v>
          </cell>
          <cell r="C74">
            <v>1151400</v>
          </cell>
          <cell r="D74" t="str">
            <v>01010000201F6E000041D8ADBD145F0E41C7CA39B02DFA0741</v>
          </cell>
          <cell r="E74">
            <v>3</v>
          </cell>
          <cell r="F74" t="str">
            <v>محطة البويضه الغربيه</v>
          </cell>
          <cell r="G74" t="str">
            <v>Al Bwaydah Algarbeyeh PS</v>
          </cell>
        </row>
        <row r="75">
          <cell r="B75" t="str">
            <v xml:space="preserve"> محطة ضخ مياه البشرية</v>
          </cell>
          <cell r="C75">
            <v>1118600</v>
          </cell>
          <cell r="D75" t="str">
            <v>01010000201F6E0000000000008CAD134100000000784A0541</v>
          </cell>
          <cell r="E75">
            <v>4</v>
          </cell>
          <cell r="F75" t="str">
            <v>محطة ضخ  البشرية</v>
          </cell>
          <cell r="G75" t="str">
            <v>Beshryyeh PS</v>
          </cell>
        </row>
        <row r="76">
          <cell r="B76" t="str">
            <v>بئر العاقب ك 112</v>
          </cell>
          <cell r="C76">
            <v>1073840</v>
          </cell>
          <cell r="D76" t="str">
            <v>01010000201F6E00006AEC9E99556512410E6A22FC75310641</v>
          </cell>
          <cell r="E76">
            <v>1</v>
          </cell>
          <cell r="F76" t="str">
            <v>بئر ك 112</v>
          </cell>
          <cell r="G76" t="str">
            <v>K112 Well</v>
          </cell>
        </row>
        <row r="77">
          <cell r="B77" t="str">
            <v>بئر العاقب ك 112</v>
          </cell>
          <cell r="C77">
            <v>1073840</v>
          </cell>
          <cell r="D77" t="str">
            <v>01010000201F6E00006FAF3A9F67651241044255EBCB310641</v>
          </cell>
          <cell r="E77">
            <v>1</v>
          </cell>
          <cell r="F77" t="str">
            <v>بئر ك 112 ب</v>
          </cell>
          <cell r="G77" t="str">
            <v>K112 B Well</v>
          </cell>
        </row>
        <row r="78">
          <cell r="B78" t="str">
            <v>بئر ومحطة ضخ مياه الكردور (5)</v>
          </cell>
          <cell r="C78">
            <v>1071900</v>
          </cell>
          <cell r="D78" t="str">
            <v>01010000201F6E0000E13BFD2A87EB1141CD391F7F2FA80541</v>
          </cell>
          <cell r="E78">
            <v>6</v>
          </cell>
          <cell r="F78" t="str">
            <v>بئر الكردور 5</v>
          </cell>
          <cell r="G78" t="str">
            <v>Corodor 5</v>
          </cell>
        </row>
        <row r="79">
          <cell r="B79" t="str">
            <v>بئر ومحطة ضخ مياه العاقب ك 124</v>
          </cell>
          <cell r="C79">
            <v>1062360</v>
          </cell>
          <cell r="D79" t="str">
            <v>01010000201F6E00003A377F83430E13410B918A40D8B60541</v>
          </cell>
          <cell r="E79">
            <v>5</v>
          </cell>
          <cell r="F79" t="str">
            <v>محطة ضخ  ك 124</v>
          </cell>
          <cell r="G79" t="str">
            <v>K124 &amp; PS</v>
          </cell>
        </row>
        <row r="80">
          <cell r="B80" t="str">
            <v>بئر مشرف الباعج (3)/ الجديد</v>
          </cell>
          <cell r="C80">
            <v>1052040</v>
          </cell>
          <cell r="D80" t="str">
            <v>01010000201F6E00008F2E21F706EA10419992D1E90E570841</v>
          </cell>
          <cell r="E80">
            <v>1</v>
          </cell>
          <cell r="F80" t="str">
            <v>بئر الباعج 3</v>
          </cell>
          <cell r="G80" t="str">
            <v>El Ba'aj 3</v>
          </cell>
        </row>
        <row r="81">
          <cell r="B81" t="str">
            <v>بئر حريما (4)</v>
          </cell>
          <cell r="C81">
            <v>1050960</v>
          </cell>
          <cell r="D81" t="str">
            <v>01010000201F6E00004B52B8F1826B0C41912BEE0D59A70B41</v>
          </cell>
          <cell r="E81">
            <v>1</v>
          </cell>
          <cell r="F81" t="str">
            <v>بئر حريما رقم 4</v>
          </cell>
          <cell r="G81" t="str">
            <v>Harima Well 4</v>
          </cell>
        </row>
        <row r="82">
          <cell r="B82" t="str">
            <v>بئر العاقب ك 117</v>
          </cell>
          <cell r="C82">
            <v>1040400</v>
          </cell>
          <cell r="D82" t="str">
            <v>01010000201F6E0000BA8A6E1338C31241FECE806871F60541</v>
          </cell>
          <cell r="E82">
            <v>1</v>
          </cell>
          <cell r="F82" t="str">
            <v>بئر ك 117</v>
          </cell>
          <cell r="G82" t="str">
            <v>K117 Well</v>
          </cell>
        </row>
        <row r="83">
          <cell r="B83" t="str">
            <v>بئر سد الوحدة (2)</v>
          </cell>
          <cell r="C83">
            <v>1029000</v>
          </cell>
          <cell r="D83" t="str">
            <v>01010000201F6E00001BFC98F161370C41B9CE493884F50C41</v>
          </cell>
          <cell r="E83">
            <v>5</v>
          </cell>
          <cell r="F83" t="str">
            <v>بئر سد الوحدة 2</v>
          </cell>
          <cell r="G83" t="str">
            <v>Wehdeh Dam Well 2</v>
          </cell>
        </row>
        <row r="84">
          <cell r="B84" t="str">
            <v>بئر ومحطة ضخ مياه ابو الفرث</v>
          </cell>
          <cell r="C84">
            <v>1007280</v>
          </cell>
          <cell r="D84" t="str">
            <v>01010000201F6E0000EB2E791682FC1241703ACF4F9FC90641</v>
          </cell>
          <cell r="E84">
            <v>1</v>
          </cell>
          <cell r="F84" t="str">
            <v>بئر ابو الفرث</v>
          </cell>
          <cell r="G84" t="str">
            <v>Abu Alfarth Well</v>
          </cell>
        </row>
        <row r="85">
          <cell r="B85" t="str">
            <v>بئر ومحطة ضخ مياه جبية (1)</v>
          </cell>
          <cell r="C85">
            <v>1006320</v>
          </cell>
          <cell r="D85" t="str">
            <v>01010000201F6E0000E48011BA507D1341FA8A53545B3C0741</v>
          </cell>
          <cell r="E85">
            <v>5</v>
          </cell>
          <cell r="F85" t="str">
            <v>محطة ضخ جبية</v>
          </cell>
          <cell r="G85" t="str">
            <v>Jubbiyeh PS</v>
          </cell>
        </row>
        <row r="86">
          <cell r="B86" t="str">
            <v>بئر حريما (5)</v>
          </cell>
          <cell r="C86">
            <v>1006240</v>
          </cell>
          <cell r="D86" t="str">
            <v>01010000201F6E0000B1295989085C0C41B24ED82E4B9D0B41</v>
          </cell>
          <cell r="E86">
            <v>1</v>
          </cell>
          <cell r="F86" t="str">
            <v>بئر حريما رقم 5</v>
          </cell>
          <cell r="G86" t="str">
            <v>Harima Well 5</v>
          </cell>
        </row>
        <row r="87">
          <cell r="B87" t="str">
            <v>بئر حكما (9)</v>
          </cell>
          <cell r="C87">
            <v>1000320</v>
          </cell>
          <cell r="D87" t="str">
            <v>01010000201F6E000023C7F5BE7AC90C417F74257D30010B41</v>
          </cell>
          <cell r="E87">
            <v>1</v>
          </cell>
          <cell r="F87" t="str">
            <v>بئر حكما رقم 9</v>
          </cell>
          <cell r="G87" t="str">
            <v>Hakama Well 9</v>
          </cell>
        </row>
        <row r="88">
          <cell r="B88" t="str">
            <v>بئر العاقب ك 116</v>
          </cell>
          <cell r="C88">
            <v>1000080</v>
          </cell>
          <cell r="D88" t="str">
            <v>01010000201F6E000002C2F7947DAE1241E02EF737F90B0641</v>
          </cell>
          <cell r="E88">
            <v>1</v>
          </cell>
          <cell r="F88" t="str">
            <v>بئر ك 116</v>
          </cell>
          <cell r="G88" t="str">
            <v>K116 Well</v>
          </cell>
        </row>
        <row r="89">
          <cell r="B89" t="str">
            <v>محطة ضخ وتحلية الحمة (الشق البارد)</v>
          </cell>
          <cell r="C89">
            <v>995040</v>
          </cell>
          <cell r="D89" t="str">
            <v>01010000201F6E0000B2CD08A715380A41AF9899E1279F0C41</v>
          </cell>
          <cell r="E89">
            <v>5</v>
          </cell>
          <cell r="F89" t="str">
            <v>محطة ضخ  المخيبه</v>
          </cell>
          <cell r="G89" t="str">
            <v>AL Mukaiba PS</v>
          </cell>
        </row>
        <row r="90">
          <cell r="B90" t="str">
            <v>بئر صبحا البلد (2)</v>
          </cell>
          <cell r="C90">
            <v>985657</v>
          </cell>
          <cell r="D90" t="str">
            <v>01010000201F6E0000A133A2745BCE114140211F7438810741</v>
          </cell>
          <cell r="E90">
            <v>1</v>
          </cell>
          <cell r="F90" t="str">
            <v>بئر صبحا</v>
          </cell>
          <cell r="G90" t="str">
            <v>Sabha Well</v>
          </cell>
        </row>
        <row r="91">
          <cell r="B91" t="str">
            <v>محطة ضخ مياه بوستر جديتا</v>
          </cell>
          <cell r="C91">
            <v>985657</v>
          </cell>
          <cell r="D91" t="str">
            <v>01010000201F6E000097933D8A2F6A0A41FA63B0C87DA30841</v>
          </cell>
          <cell r="E91">
            <v>3</v>
          </cell>
          <cell r="F91" t="str">
            <v>بوستر جديتا</v>
          </cell>
          <cell r="G91" t="str">
            <v>Booster Judayta</v>
          </cell>
        </row>
        <row r="92">
          <cell r="B92" t="str">
            <v>بئر مندح (2)</v>
          </cell>
          <cell r="C92">
            <v>984320</v>
          </cell>
          <cell r="D92" t="str">
            <v>01010000201F6E00009605AFF765640A410ECAC2CB13790A41</v>
          </cell>
          <cell r="E92">
            <v>7</v>
          </cell>
          <cell r="F92" t="str">
            <v>محطة ضخ بئر مندح 2</v>
          </cell>
          <cell r="G92" t="str">
            <v>Mandah PS2 &amp; Well 2</v>
          </cell>
        </row>
        <row r="93">
          <cell r="B93" t="str">
            <v>محطة ضخ مياه الشواهد + بئر الشواهد الشرقي (1)(3)(3أ) + بئر الشواهد الغربي</v>
          </cell>
          <cell r="C93">
            <v>982080</v>
          </cell>
          <cell r="D93" t="str">
            <v>01010000201F6E000057315B7133970C41F529FB23B4370741</v>
          </cell>
          <cell r="E93">
            <v>2</v>
          </cell>
          <cell r="F93" t="str">
            <v>خزان محطة الشواهد</v>
          </cell>
          <cell r="G93" t="str">
            <v>AL Shawahed R</v>
          </cell>
        </row>
        <row r="94">
          <cell r="B94" t="str">
            <v>محطة ضخ مياه الشواهد + بئر الشواهد الشرقي (1)(3)(3أ) + بئر الشواهد الغربي</v>
          </cell>
          <cell r="C94">
            <v>982080</v>
          </cell>
          <cell r="D94" t="str">
            <v>01010000201F6E0000150A37657F970C418639AA8002360741</v>
          </cell>
          <cell r="E94">
            <v>4</v>
          </cell>
          <cell r="F94" t="str">
            <v>محطة ضخ الشواهد</v>
          </cell>
          <cell r="G94" t="str">
            <v>Al Shawahed PS</v>
          </cell>
        </row>
        <row r="95">
          <cell r="B95" t="str">
            <v>بئر الكوريدور (17)</v>
          </cell>
          <cell r="C95">
            <v>977280</v>
          </cell>
          <cell r="D95" t="str">
            <v>01010000201F6E0000E315F808C8F61141613F7FEAA8210641</v>
          </cell>
          <cell r="E95">
            <v>1</v>
          </cell>
          <cell r="F95" t="str">
            <v>بئر الكردور 17</v>
          </cell>
          <cell r="G95" t="str">
            <v>Corodor 17</v>
          </cell>
        </row>
        <row r="96">
          <cell r="B96" t="str">
            <v>بئر العاقب ك 108.5</v>
          </cell>
          <cell r="C96">
            <v>973560</v>
          </cell>
          <cell r="D96" t="str">
            <v>01010000201F6E00009FF410277340124124F4A7EB6C660641</v>
          </cell>
          <cell r="E96">
            <v>1</v>
          </cell>
          <cell r="F96" t="str">
            <v>بئر ك 108</v>
          </cell>
          <cell r="G96" t="str">
            <v>K108 Well</v>
          </cell>
        </row>
        <row r="97">
          <cell r="B97" t="str">
            <v>بئر الكوريدور (3)</v>
          </cell>
          <cell r="C97">
            <v>965120</v>
          </cell>
          <cell r="D97" t="str">
            <v>01010000201F6E000064005B00F1EB1141240074D89CC60541</v>
          </cell>
          <cell r="E97">
            <v>1</v>
          </cell>
          <cell r="F97" t="str">
            <v>بئر الكردور 3</v>
          </cell>
          <cell r="G97" t="str">
            <v>Corodor 3</v>
          </cell>
        </row>
        <row r="98">
          <cell r="B98" t="str">
            <v>بئر الاقتصادية (6)</v>
          </cell>
          <cell r="C98">
            <v>954600</v>
          </cell>
          <cell r="D98" t="str">
            <v>01010000201F6E0000E76A1417A72D12414F6587360F500641</v>
          </cell>
          <cell r="E98">
            <v>1</v>
          </cell>
          <cell r="F98" t="str">
            <v>بئرالمنطقة الإقتصادية6</v>
          </cell>
          <cell r="G98" t="str">
            <v>Economic Well 6</v>
          </cell>
        </row>
        <row r="99">
          <cell r="B99" t="str">
            <v>بئر العاقب ك 124.5</v>
          </cell>
          <cell r="C99">
            <v>950240</v>
          </cell>
          <cell r="D99" t="str">
            <v>01010000201F6E0000740DA2B791171341C44448B182AB0541</v>
          </cell>
          <cell r="E99">
            <v>1</v>
          </cell>
          <cell r="F99" t="str">
            <v>بئر حليوة</v>
          </cell>
          <cell r="G99" t="str">
            <v>Hlaiwa Well</v>
          </cell>
        </row>
        <row r="100">
          <cell r="B100" t="str">
            <v>محطة ضخ مياه ونبع القيروان - اشتراك (1)</v>
          </cell>
          <cell r="C100">
            <v>928400</v>
          </cell>
          <cell r="D100" t="str">
            <v>01010000201F6E0000CA70B9D6AEA20C4183D336F3AFEC0641</v>
          </cell>
          <cell r="E100">
            <v>5</v>
          </cell>
          <cell r="F100" t="str">
            <v>محطة ضخ القيروان</v>
          </cell>
          <cell r="G100" t="str">
            <v>Al Qairawan PS</v>
          </cell>
        </row>
        <row r="101">
          <cell r="B101" t="str">
            <v>محطة ضخ مياه الرياشي + بئر (2)</v>
          </cell>
          <cell r="C101">
            <v>917040</v>
          </cell>
          <cell r="D101" t="str">
            <v>01010000201F6E000000000000883A10410000000050340941</v>
          </cell>
          <cell r="E101">
            <v>1</v>
          </cell>
          <cell r="F101" t="str">
            <v>بئر سميا رقم 12</v>
          </cell>
          <cell r="G101" t="str">
            <v>Sumaya Well 12</v>
          </cell>
        </row>
        <row r="102">
          <cell r="B102" t="str">
            <v xml:space="preserve">بئر ومحطة ضخ مياه النعيمة (1)+ بئر (1أ) </v>
          </cell>
          <cell r="C102">
            <v>896750</v>
          </cell>
          <cell r="D102" t="str">
            <v>01010000201F6E00001A8400794AC00C410D71CD9A7ED80841</v>
          </cell>
          <cell r="E102">
            <v>5</v>
          </cell>
          <cell r="F102" t="str">
            <v>محطة ضخ  النعيمه 1</v>
          </cell>
          <cell r="G102" t="str">
            <v>No'aymeh PS 1</v>
          </cell>
        </row>
        <row r="103">
          <cell r="B103" t="str">
            <v>بئر العاقب ك 109</v>
          </cell>
          <cell r="C103">
            <v>850680</v>
          </cell>
          <cell r="D103" t="str">
            <v>01010000201F6E0000E7A2B7010C4F124120F93D0CE8400641</v>
          </cell>
          <cell r="E103">
            <v>1</v>
          </cell>
          <cell r="F103" t="str">
            <v>بئر ك  110</v>
          </cell>
          <cell r="G103" t="str">
            <v>K110 Well</v>
          </cell>
        </row>
        <row r="104">
          <cell r="B104" t="str">
            <v>بئر العاقب ك 114</v>
          </cell>
          <cell r="C104">
            <v>849600</v>
          </cell>
          <cell r="D104" t="str">
            <v>01010000201F6E00009808E3D3AB841241F8F5A7E89F1A0641</v>
          </cell>
          <cell r="E104">
            <v>1</v>
          </cell>
          <cell r="F104" t="str">
            <v>بئر ك  114</v>
          </cell>
          <cell r="G104" t="str">
            <v>K114 Well</v>
          </cell>
        </row>
        <row r="105">
          <cell r="B105" t="str">
            <v>بئر حكما (10)</v>
          </cell>
          <cell r="C105">
            <v>849280</v>
          </cell>
          <cell r="D105" t="str">
            <v>01010000201F6E00005B052E9483A30C412F5CB6BCCCEE0A41</v>
          </cell>
          <cell r="E105">
            <v>1</v>
          </cell>
          <cell r="F105" t="str">
            <v>بئر حكما 10</v>
          </cell>
          <cell r="G105" t="str">
            <v>Hakama Well 10</v>
          </cell>
        </row>
        <row r="106">
          <cell r="B106" t="str">
            <v>بئر الزنيه (10)</v>
          </cell>
          <cell r="C106">
            <v>841120</v>
          </cell>
          <cell r="D106" t="str">
            <v>01010000201F6E0000119C33620FA90F41C0172693B4FD0541</v>
          </cell>
          <cell r="E106">
            <v>1</v>
          </cell>
          <cell r="F106" t="str">
            <v>بئر الزنية 10</v>
          </cell>
          <cell r="G106" t="str">
            <v>Znaya Well 10</v>
          </cell>
        </row>
        <row r="107">
          <cell r="B107" t="str">
            <v>محطة ضخ مياه الدفيانه+ بئر (4)</v>
          </cell>
          <cell r="C107">
            <v>840880</v>
          </cell>
          <cell r="D107" t="str">
            <v>01010000201F6E0000E6BBBF567B3012418ABA4F8654660741</v>
          </cell>
          <cell r="E107">
            <v>1</v>
          </cell>
          <cell r="F107" t="str">
            <v>بئر الدفيانه 4</v>
          </cell>
          <cell r="G107" t="str">
            <v>Dafyaneh Well 4</v>
          </cell>
        </row>
        <row r="108">
          <cell r="B108" t="str">
            <v>بئر العاقب ك 102.5</v>
          </cell>
          <cell r="C108">
            <v>829760</v>
          </cell>
          <cell r="D108" t="str">
            <v>01010000201F6E0000E36665E518DF114181D046BBCC8E0641</v>
          </cell>
          <cell r="E108">
            <v>1</v>
          </cell>
          <cell r="F108" t="str">
            <v>بئر ك 102.5</v>
          </cell>
          <cell r="G108" t="str">
            <v>K102.5 Well</v>
          </cell>
        </row>
        <row r="109">
          <cell r="B109" t="str">
            <v>بئر القنيه</v>
          </cell>
          <cell r="C109">
            <v>828160</v>
          </cell>
          <cell r="D109" t="str">
            <v>01010000201F6E000010CA8A9EB1C90D410BB19836D1710641</v>
          </cell>
          <cell r="E109">
            <v>7</v>
          </cell>
          <cell r="F109" t="str">
            <v>محطة ضخ  القنية</v>
          </cell>
          <cell r="G109" t="str">
            <v>AlQnayya PS</v>
          </cell>
        </row>
        <row r="110">
          <cell r="B110" t="str">
            <v>بئر حكما (8)</v>
          </cell>
          <cell r="C110">
            <v>821840</v>
          </cell>
          <cell r="D110" t="str">
            <v>01010000201F6E0000F7D8885BD5BF0C41AB53466974120B41</v>
          </cell>
          <cell r="E110">
            <v>1</v>
          </cell>
          <cell r="F110" t="str">
            <v>بئر حكما رقم8</v>
          </cell>
          <cell r="G110" t="str">
            <v>Hakama Well 8</v>
          </cell>
        </row>
        <row r="111">
          <cell r="B111" t="str">
            <v>بئر العاقب ك 113</v>
          </cell>
          <cell r="C111">
            <v>819760</v>
          </cell>
          <cell r="D111" t="str">
            <v>01010000201F6E000098D6340CDE731241173573A1FD280641</v>
          </cell>
          <cell r="E111">
            <v>1</v>
          </cell>
          <cell r="F111" t="str">
            <v>بئر ك 113</v>
          </cell>
          <cell r="G111" t="str">
            <v>Aqeb Well 113</v>
          </cell>
        </row>
        <row r="112">
          <cell r="B112" t="str">
            <v>بئر ومحطة ضخ مياه مندح (4)</v>
          </cell>
          <cell r="C112">
            <v>813600</v>
          </cell>
          <cell r="D112" t="str">
            <v>01010000201F6E000078A8D3C502240A41E8A9C69E9F960A41</v>
          </cell>
          <cell r="E112">
            <v>6</v>
          </cell>
          <cell r="F112" t="str">
            <v>بئر وخزان مندح 4</v>
          </cell>
          <cell r="G112" t="str">
            <v>Mandah Well 4 &amp; Res.</v>
          </cell>
        </row>
        <row r="113">
          <cell r="B113" t="str">
            <v>بئر العاقب ك 95</v>
          </cell>
          <cell r="C113">
            <v>791760</v>
          </cell>
          <cell r="D113" t="str">
            <v>01010000201F6E0000C3D730B7AD69114136333DC184D00641</v>
          </cell>
          <cell r="E113">
            <v>1</v>
          </cell>
          <cell r="F113" t="str">
            <v>بئر ك 95</v>
          </cell>
          <cell r="G113" t="str">
            <v>K095 Well</v>
          </cell>
        </row>
        <row r="114">
          <cell r="B114" t="str">
            <v>بئر سليخات (4)&amp;(5)</v>
          </cell>
          <cell r="C114">
            <v>786480</v>
          </cell>
          <cell r="D114" t="str">
            <v>01010000201F6E00002FDF0D97964309415719892D31F60641</v>
          </cell>
          <cell r="E114">
            <v>1</v>
          </cell>
          <cell r="F114" t="str">
            <v>المكيمنات -ابار سليخات 4،5</v>
          </cell>
          <cell r="G114" t="str">
            <v>Slechat well 4 and 5-Al Meekanat</v>
          </cell>
        </row>
        <row r="115">
          <cell r="B115" t="str">
            <v>بئر الاقتصادية (4)</v>
          </cell>
          <cell r="C115">
            <v>775760</v>
          </cell>
          <cell r="D115" t="str">
            <v>01010000201F6E0000AC25BBE9B22112411F3803EA96480641</v>
          </cell>
          <cell r="E115">
            <v>1</v>
          </cell>
          <cell r="F115" t="str">
            <v>بئرالمنطقة الإقتصادية4</v>
          </cell>
          <cell r="G115" t="str">
            <v>MSEZ Well 4</v>
          </cell>
        </row>
        <row r="116">
          <cell r="B116" t="str">
            <v>بئر ومحطة ضخ مياه جابر (10)</v>
          </cell>
          <cell r="C116">
            <v>756600</v>
          </cell>
          <cell r="D116" t="str">
            <v>01010000201F6E0000C05A59E547730E411A704DF30B660A41</v>
          </cell>
          <cell r="E116">
            <v>1</v>
          </cell>
          <cell r="F116" t="str">
            <v>بئر جابر 10</v>
          </cell>
          <cell r="G116" t="str">
            <v>Jaber Well 10</v>
          </cell>
        </row>
        <row r="117">
          <cell r="B117" t="str">
            <v>بئر كفراسد (4)</v>
          </cell>
          <cell r="C117">
            <v>740120</v>
          </cell>
          <cell r="D117" t="str">
            <v>01010000201F6E000060967E43A6400A417AB616324BA50B41</v>
          </cell>
          <cell r="E117">
            <v>1</v>
          </cell>
          <cell r="F117" t="str">
            <v>بئر كفراسد 4</v>
          </cell>
          <cell r="G117" t="str">
            <v>Kufr Asad Well 4</v>
          </cell>
        </row>
        <row r="118">
          <cell r="B118" t="str">
            <v>بئر كفراسد (3)</v>
          </cell>
          <cell r="C118">
            <v>740120</v>
          </cell>
          <cell r="D118" t="str">
            <v>01010000201F6E0000505BC8FDCE630A41260B704AAC940B41</v>
          </cell>
          <cell r="E118">
            <v>5</v>
          </cell>
          <cell r="F118" t="str">
            <v>محطة ضخ بئر  وخزان كفر اسد 3</v>
          </cell>
          <cell r="G118" t="str">
            <v>Kufr Asad Well 3 PS &amp; Res.</v>
          </cell>
        </row>
        <row r="119">
          <cell r="B119" t="str">
            <v xml:space="preserve"> محطة ضخ مياه المحاسي+ بئر (5)&amp;(6)</v>
          </cell>
          <cell r="C119">
            <v>738000</v>
          </cell>
          <cell r="D119" t="str">
            <v>01010000201F6E0000A19F958F86BC0D41973E6D29E80B0B41</v>
          </cell>
          <cell r="E119">
            <v>5</v>
          </cell>
          <cell r="F119" t="str">
            <v>محطة ضخ المحاسي وبئر 5-6</v>
          </cell>
          <cell r="G119" t="str">
            <v>Mahasi PS &amp; Well 5-6</v>
          </cell>
        </row>
        <row r="120">
          <cell r="B120" t="str">
            <v>بئر عيون الحمام (5)</v>
          </cell>
          <cell r="C120">
            <v>737040</v>
          </cell>
          <cell r="D120" t="str">
            <v>01010000201F6E0000B013D084DE800A416144696F57E70941</v>
          </cell>
          <cell r="E120">
            <v>7</v>
          </cell>
          <cell r="F120" t="str">
            <v>محطة ضخ بئر عيون الحمام 5</v>
          </cell>
          <cell r="G120" t="str">
            <v>Oyoon Hammam 5</v>
          </cell>
        </row>
        <row r="121">
          <cell r="B121" t="str">
            <v>بئر العاقب ك 102</v>
          </cell>
          <cell r="C121">
            <v>735200</v>
          </cell>
          <cell r="D121" t="str">
            <v>01010000201F6E00000000000028C9114100000000889F0641</v>
          </cell>
          <cell r="E121">
            <v>1</v>
          </cell>
          <cell r="F121" t="str">
            <v>بئر ك 102</v>
          </cell>
          <cell r="G121" t="str">
            <v>K102 Well</v>
          </cell>
        </row>
        <row r="122">
          <cell r="B122" t="str">
            <v>بئر ومحطة ضخ مياه كفريوبا</v>
          </cell>
          <cell r="C122">
            <v>730500</v>
          </cell>
          <cell r="D122" t="str">
            <v>01010000201F6E0000F4CC332AD1610B41E1145A48484E0A41</v>
          </cell>
          <cell r="E122">
            <v>5</v>
          </cell>
          <cell r="F122" t="str">
            <v>محطة ضخ وبئر وخزان مياه كفريوبا</v>
          </cell>
          <cell r="G122" t="str">
            <v>Kufr Youba PS Well &amp; Res.</v>
          </cell>
        </row>
        <row r="123">
          <cell r="B123" t="str">
            <v>بئر ومحطة ضخ مياه الرفاعيات (1أ)</v>
          </cell>
          <cell r="C123">
            <v>726640</v>
          </cell>
          <cell r="D123" t="str">
            <v>01010000201F6E0000FB42B85C022C1341EF4B740DE3B70641</v>
          </cell>
          <cell r="E123">
            <v>5</v>
          </cell>
          <cell r="F123" t="str">
            <v>محطة ضخ  الرفاعيات</v>
          </cell>
          <cell r="G123" t="str">
            <v>Al Rafayyat PS</v>
          </cell>
        </row>
        <row r="124">
          <cell r="B124" t="str">
            <v>بئر العاقب ك 106</v>
          </cell>
          <cell r="C124">
            <v>718560</v>
          </cell>
          <cell r="D124" t="str">
            <v>01010000201F6E0000000000003C0A12410000000020710641</v>
          </cell>
          <cell r="E124">
            <v>1</v>
          </cell>
          <cell r="F124" t="str">
            <v>بئر ك  106</v>
          </cell>
          <cell r="G124" t="str">
            <v>K106 Well</v>
          </cell>
        </row>
        <row r="125">
          <cell r="B125" t="str">
            <v>بئر العاقب ك 136</v>
          </cell>
          <cell r="C125">
            <v>714720</v>
          </cell>
          <cell r="D125" t="str">
            <v>01010000201F6E000021A0893032C51341C01E85EB283B0541</v>
          </cell>
          <cell r="E125">
            <v>1</v>
          </cell>
          <cell r="F125" t="str">
            <v>بئر ك 136</v>
          </cell>
          <cell r="G125" t="str">
            <v>K136 Well</v>
          </cell>
        </row>
        <row r="126">
          <cell r="B126" t="str">
            <v>محطة ضخ مياه جابر السرحان</v>
          </cell>
          <cell r="C126">
            <v>712960</v>
          </cell>
          <cell r="D126" t="str">
            <v>01010000201F6E0000E217091AF805104147A9832DF5FB0941</v>
          </cell>
          <cell r="E126">
            <v>7</v>
          </cell>
          <cell r="F126" t="str">
            <v>محطة ضخ جابر السرحان</v>
          </cell>
          <cell r="G126" t="str">
            <v>Jaber El Sarhan PS</v>
          </cell>
        </row>
        <row r="127">
          <cell r="B127" t="str">
            <v>بئر ومحطة ضخ مياه دوقرا</v>
          </cell>
          <cell r="C127">
            <v>707640</v>
          </cell>
          <cell r="D127" t="str">
            <v>01010000201F6E00006120021895C10A41558E6D654D510B41</v>
          </cell>
          <cell r="E127">
            <v>5</v>
          </cell>
          <cell r="F127" t="str">
            <v>محطة ضخ  دوقرا</v>
          </cell>
          <cell r="G127" t="str">
            <v>Dougara PS</v>
          </cell>
        </row>
        <row r="128">
          <cell r="B128" t="str">
            <v xml:space="preserve"> (2)بئر حدود جابر</v>
          </cell>
          <cell r="C128">
            <v>705960</v>
          </cell>
          <cell r="D128" t="str">
            <v>01010000201F6E000040F163CC960F10419E0F7AB6C81F0A41</v>
          </cell>
          <cell r="E128">
            <v>1</v>
          </cell>
          <cell r="F128" t="str">
            <v>بئر مركز حدود جابر رقم 2</v>
          </cell>
          <cell r="G128" t="str">
            <v>Center Al Hudud Jaber Well 2</v>
          </cell>
        </row>
        <row r="129">
          <cell r="B129" t="str">
            <v>بئر جابر (9)</v>
          </cell>
          <cell r="C129">
            <v>698400</v>
          </cell>
          <cell r="D129" t="str">
            <v>01010000201F6E0000C3782CBB6E5E0E4196B89414CF960A41</v>
          </cell>
          <cell r="E129">
            <v>1</v>
          </cell>
          <cell r="F129" t="str">
            <v>بئر جابر 9</v>
          </cell>
          <cell r="G129" t="str">
            <v>Jaber Well 9</v>
          </cell>
        </row>
        <row r="130">
          <cell r="B130" t="str">
            <v>محطة ضخ مياه الزبيدية+ بئر (3)</v>
          </cell>
          <cell r="C130">
            <v>697920</v>
          </cell>
          <cell r="D130" t="str">
            <v>01010000201F6E00007E7AA6A654941041309F1FE2F73F0841</v>
          </cell>
          <cell r="E130">
            <v>5</v>
          </cell>
          <cell r="F130" t="str">
            <v>محطة ضخ الزبيديه</v>
          </cell>
          <cell r="G130" t="str">
            <v>AL Zubaideyeh  PS</v>
          </cell>
        </row>
        <row r="131">
          <cell r="B131" t="str">
            <v>بئر بيت ايدس</v>
          </cell>
          <cell r="C131">
            <v>686480</v>
          </cell>
          <cell r="D131" t="str">
            <v>01010000201F6E000028CF798BE3E2094142D1E7A093050941</v>
          </cell>
          <cell r="E131">
            <v>1</v>
          </cell>
          <cell r="F131" t="str">
            <v>بئر بيت ايدس</v>
          </cell>
          <cell r="G131" t="str">
            <v>Beit Eidis Well</v>
          </cell>
        </row>
        <row r="132">
          <cell r="B132" t="str">
            <v xml:space="preserve"> محطة ضخ مياه الكوم الاحمر + بئر (1)</v>
          </cell>
          <cell r="C132">
            <v>681440</v>
          </cell>
          <cell r="D132" t="str">
            <v>01010000201F6E0000FBF365A3E33611412C2FCEC781120841</v>
          </cell>
          <cell r="E132">
            <v>5</v>
          </cell>
          <cell r="F132" t="str">
            <v>محطة ضخ  الكوم الاحمر</v>
          </cell>
          <cell r="G132" t="str">
            <v>AL Kum Al Ahmer PS</v>
          </cell>
        </row>
        <row r="133">
          <cell r="B133" t="str">
            <v>خزان  مياه كريمه</v>
          </cell>
          <cell r="C133">
            <v>676960</v>
          </cell>
          <cell r="D133" t="str">
            <v>01010000201F6E0000D8F71ED2384C0941EB3029A76EC20641</v>
          </cell>
          <cell r="E133">
            <v>2</v>
          </cell>
          <cell r="F133" t="str">
            <v>خزان كريمه</v>
          </cell>
          <cell r="G133" t="str">
            <v>Krayymeh R</v>
          </cell>
        </row>
        <row r="134">
          <cell r="B134" t="str">
            <v>بئر سويلمه (5)</v>
          </cell>
          <cell r="C134">
            <v>665120</v>
          </cell>
          <cell r="D134" t="str">
            <v>01010000201F6E00006D863565E0970F4146800DDC70D20941</v>
          </cell>
          <cell r="E134">
            <v>1</v>
          </cell>
          <cell r="F134" t="str">
            <v>بئر سويلمة 5</v>
          </cell>
          <cell r="G134" t="str">
            <v>Suwelmeh  Well 1</v>
          </cell>
        </row>
        <row r="135">
          <cell r="B135" t="str">
            <v>محطة ضخ مياه دير الكهف</v>
          </cell>
          <cell r="C135">
            <v>649680</v>
          </cell>
          <cell r="D135" t="str">
            <v>01010000201F6E000022B7A3F485CC13416BEC87D048130741</v>
          </cell>
          <cell r="E135">
            <v>4</v>
          </cell>
          <cell r="F135" t="str">
            <v>محطة ضخ دير الكهف</v>
          </cell>
          <cell r="G135" t="str">
            <v>Dir Al Kahf PS</v>
          </cell>
        </row>
        <row r="136">
          <cell r="B136" t="str">
            <v>محطة ضخ مياه زقيق (4)</v>
          </cell>
          <cell r="C136">
            <v>646080</v>
          </cell>
          <cell r="D136" t="str">
            <v>01010000201F6E0000B845B1769F1A0A410095A7F26AAC0741</v>
          </cell>
          <cell r="E136">
            <v>4</v>
          </cell>
          <cell r="F136" t="str">
            <v>محطة ضخ زقيق رقم 4</v>
          </cell>
          <cell r="G136" t="str">
            <v>Zuqaq  PS 4</v>
          </cell>
        </row>
        <row r="137">
          <cell r="B137" t="str">
            <v>بئر حكما (5)</v>
          </cell>
          <cell r="C137">
            <v>630640</v>
          </cell>
          <cell r="D137" t="str">
            <v>01010000201F6E0000056E424BBBB70C41CC5D657C94C90A41</v>
          </cell>
          <cell r="E137">
            <v>1</v>
          </cell>
          <cell r="F137" t="str">
            <v>بئر حكما 5</v>
          </cell>
          <cell r="G137" t="str">
            <v>Hakama Well 5</v>
          </cell>
        </row>
        <row r="138">
          <cell r="B138" t="str">
            <v>بئر الكوريدور (12)</v>
          </cell>
          <cell r="C138">
            <v>624720</v>
          </cell>
          <cell r="D138" t="str">
            <v>01010000201F6E0000D48D52EB91E61141065E7F5FA1810541</v>
          </cell>
          <cell r="E138">
            <v>1</v>
          </cell>
          <cell r="F138" t="str">
            <v>بئر الكردور12</v>
          </cell>
          <cell r="G138" t="str">
            <v>Corodor 12</v>
          </cell>
        </row>
        <row r="139">
          <cell r="B139" t="str">
            <v>بئر حريما (2)</v>
          </cell>
          <cell r="C139">
            <v>624640</v>
          </cell>
          <cell r="D139" t="str">
            <v>01010000201F6E0000F176CA31F6810C4123FB8DD062BF0B41</v>
          </cell>
          <cell r="E139">
            <v>1</v>
          </cell>
          <cell r="F139" t="str">
            <v>بئر حريما رقم 2</v>
          </cell>
          <cell r="G139" t="str">
            <v>Harima Well 2</v>
          </cell>
        </row>
        <row r="140">
          <cell r="B140" t="str">
            <v>بئر العاقب ك 93.5</v>
          </cell>
          <cell r="C140">
            <v>621520</v>
          </cell>
          <cell r="D140" t="str">
            <v>01010000201F6E0000C3115483E45A1141EF002A8C8FF40641</v>
          </cell>
          <cell r="E140">
            <v>1</v>
          </cell>
          <cell r="F140" t="str">
            <v>بئر ك 93.5</v>
          </cell>
          <cell r="G140" t="str">
            <v>K093.5 Well</v>
          </cell>
        </row>
        <row r="141">
          <cell r="B141" t="str">
            <v>بئر ام السرب (3)</v>
          </cell>
          <cell r="C141">
            <v>620240</v>
          </cell>
          <cell r="D141" t="str">
            <v>01010000201F6E0000855DF60F70C41041523168ED41E10841</v>
          </cell>
          <cell r="E141">
            <v>5</v>
          </cell>
          <cell r="F141" t="str">
            <v>محطة ضخ  وبئر ام  السرب3</v>
          </cell>
          <cell r="G141" t="str">
            <v>Um Es SerbWell 3&amp; PS</v>
          </cell>
        </row>
        <row r="142">
          <cell r="B142" t="str">
            <v>بئر ومحطة تحلية الطره</v>
          </cell>
          <cell r="C142">
            <v>619200</v>
          </cell>
          <cell r="D142" t="str">
            <v>01010000201F6E000015D0A9AF3AE00D41D4B226209C880B41</v>
          </cell>
          <cell r="E142">
            <v>1</v>
          </cell>
          <cell r="F142" t="str">
            <v>بئر الطرة</v>
          </cell>
          <cell r="G142" t="str">
            <v>Atturra Well</v>
          </cell>
        </row>
        <row r="143">
          <cell r="B143" t="str">
            <v>بئر العاقب ك 125</v>
          </cell>
          <cell r="C143">
            <v>592500</v>
          </cell>
          <cell r="D143" t="str">
            <v>01010000201F6E0000D729898647E112415D6DF91AD1420541</v>
          </cell>
          <cell r="E143">
            <v>1</v>
          </cell>
          <cell r="F143" t="str">
            <v>بئر ك العاقب 126</v>
          </cell>
          <cell r="G143" t="str">
            <v>K126 Well</v>
          </cell>
        </row>
        <row r="144">
          <cell r="B144" t="str">
            <v>بئر النعيمه (8)</v>
          </cell>
          <cell r="C144">
            <v>567000</v>
          </cell>
          <cell r="D144" t="str">
            <v>01010000201F6E00002E75021A0CDD0C41E002090AC5800841</v>
          </cell>
          <cell r="E144">
            <v>1</v>
          </cell>
          <cell r="F144" t="str">
            <v>بئر النعيمة رقم8</v>
          </cell>
          <cell r="G144" t="str">
            <v>No'aymeh Well 8</v>
          </cell>
        </row>
        <row r="145">
          <cell r="B145" t="str">
            <v>بئر حكما (6)</v>
          </cell>
          <cell r="C145">
            <v>557040</v>
          </cell>
          <cell r="D145" t="str">
            <v>01010000201F6E0000FEE053D3567A0C412914918DD4E10A41</v>
          </cell>
          <cell r="E145">
            <v>1</v>
          </cell>
          <cell r="F145" t="str">
            <v>بئر حكما   6</v>
          </cell>
          <cell r="G145" t="str">
            <v>Hakama Well 6</v>
          </cell>
        </row>
        <row r="146">
          <cell r="B146" t="str">
            <v>بئر الشق البارد (1أ)</v>
          </cell>
          <cell r="C146">
            <v>554800</v>
          </cell>
          <cell r="D146" t="str">
            <v>01010000201F6E0000F1BDDBDB1E590A41375DF62A03B70C41</v>
          </cell>
          <cell r="E146">
            <v>1</v>
          </cell>
          <cell r="F146" t="str">
            <v>بئر المخيبة1أ</v>
          </cell>
          <cell r="G146" t="str">
            <v>AL Mukaiba Well 1A</v>
          </cell>
        </row>
        <row r="147">
          <cell r="B147" t="str">
            <v>بئر ومحطة ضخ مياه ك 140</v>
          </cell>
          <cell r="C147">
            <v>532000</v>
          </cell>
          <cell r="D147" t="str">
            <v>01010000201F6E000000000000BC03144100000000B00C0541</v>
          </cell>
          <cell r="E147">
            <v>5</v>
          </cell>
          <cell r="F147" t="str">
            <v>محطة ضخ  ك 140</v>
          </cell>
          <cell r="G147" t="str">
            <v>K140 PS</v>
          </cell>
        </row>
        <row r="148">
          <cell r="B148" t="str">
            <v>بئر مشتل فيصل (8)</v>
          </cell>
          <cell r="C148">
            <v>521200</v>
          </cell>
          <cell r="D148" t="str">
            <v>01010000201F6E00003BB231133A970C417FBB055321140641</v>
          </cell>
          <cell r="E148">
            <v>1</v>
          </cell>
          <cell r="F148" t="str">
            <v>بئر مشتل فيصل 8</v>
          </cell>
          <cell r="G148" t="str">
            <v>Mashtal Faysal well 8</v>
          </cell>
        </row>
        <row r="149">
          <cell r="B149" t="str">
            <v>بئر الكوريدور (4)</v>
          </cell>
          <cell r="C149">
            <v>518960</v>
          </cell>
          <cell r="D149" t="str">
            <v>01010000201F6E00002B0D41BD55EC114169D1603C22250641</v>
          </cell>
          <cell r="E149">
            <v>1</v>
          </cell>
          <cell r="F149" t="str">
            <v>بئر الكردور 4</v>
          </cell>
          <cell r="G149" t="str">
            <v>Corodor 4</v>
          </cell>
        </row>
        <row r="150">
          <cell r="B150" t="str">
            <v>بئر عيون الحمام (1)</v>
          </cell>
          <cell r="C150">
            <v>516000</v>
          </cell>
          <cell r="D150" t="str">
            <v>01010000201F6E0000772E76678A640A41C6A1DED0EEF60941</v>
          </cell>
          <cell r="E150">
            <v>7</v>
          </cell>
          <cell r="F150" t="str">
            <v>محطة ضخ عيون الحم القديمة</v>
          </cell>
          <cell r="G150" t="str">
            <v>Old Oyoon Al Hammam P S</v>
          </cell>
        </row>
        <row r="151">
          <cell r="B151" t="str">
            <v>بئر عيون الحمام (2)</v>
          </cell>
          <cell r="C151">
            <v>515600</v>
          </cell>
          <cell r="D151" t="str">
            <v>01010000201F6E0000F6EFBBC6FF500A41FEAF03F026020A41</v>
          </cell>
          <cell r="E151">
            <v>7</v>
          </cell>
          <cell r="F151" t="str">
            <v>محط ضخ بئر عيون الحمام 2</v>
          </cell>
          <cell r="G151" t="str">
            <v>Oyoon Al Hammam Well 2</v>
          </cell>
        </row>
        <row r="152">
          <cell r="B152" t="str">
            <v>بئر عيون الحمام (2)</v>
          </cell>
          <cell r="C152">
            <v>515600</v>
          </cell>
          <cell r="D152" t="str">
            <v>01010000201F6E00008720A6F685520A4147D3018D5A010A41</v>
          </cell>
          <cell r="E152">
            <v>4</v>
          </cell>
          <cell r="F152" t="str">
            <v>محطة ضخ  عيون الحمام</v>
          </cell>
          <cell r="G152" t="str">
            <v>Oyoon Al Hammam PS</v>
          </cell>
        </row>
        <row r="153">
          <cell r="B153" t="str">
            <v>بئرحوشا</v>
          </cell>
          <cell r="C153">
            <v>512800</v>
          </cell>
          <cell r="D153" t="str">
            <v>01010000201F6E00004F0C02AB162E0F41DF0FE9372AB60941</v>
          </cell>
          <cell r="E153">
            <v>6</v>
          </cell>
          <cell r="F153" t="str">
            <v>بئر حوشه</v>
          </cell>
          <cell r="G153" t="str">
            <v>Hosha Well</v>
          </cell>
        </row>
        <row r="154">
          <cell r="B154" t="str">
            <v>محطة ضخ مياه ابو البصل+ بئر (2)</v>
          </cell>
          <cell r="C154">
            <v>512280</v>
          </cell>
          <cell r="D154" t="str">
            <v>01010000201F6E00007491A124FC600D417C0F4650017A0A41</v>
          </cell>
          <cell r="E154">
            <v>5</v>
          </cell>
          <cell r="F154" t="str">
            <v>محطة ضخ بئر وخزان ابو البصل 2</v>
          </cell>
          <cell r="G154" t="str">
            <v>Abu Al basal PS and Well 2 @ Res.</v>
          </cell>
        </row>
        <row r="155">
          <cell r="B155" t="str">
            <v>محطة ضخ مياه الحصن</v>
          </cell>
          <cell r="C155">
            <v>511000</v>
          </cell>
          <cell r="D155" t="str">
            <v>01010000201F6E00009205EE28D5900C412DC093DC82810941</v>
          </cell>
          <cell r="E155">
            <v>3</v>
          </cell>
          <cell r="F155" t="str">
            <v>محطة ضخ  الحصن</v>
          </cell>
          <cell r="G155" t="str">
            <v>Hoson PS</v>
          </cell>
        </row>
        <row r="156">
          <cell r="B156" t="str">
            <v>بئر ومظلة النعيمة (5)</v>
          </cell>
          <cell r="C156">
            <v>500880</v>
          </cell>
          <cell r="D156" t="str">
            <v>01010000201F6E000011E9B7AF44F40C41C042AD695AA60841</v>
          </cell>
          <cell r="E156">
            <v>6</v>
          </cell>
          <cell r="F156" t="str">
            <v>بئر النعيمة رقم 5</v>
          </cell>
          <cell r="G156" t="str">
            <v>No'aymeh Well 5</v>
          </cell>
        </row>
        <row r="157">
          <cell r="B157" t="str">
            <v>بئر الرويشد (2أ)</v>
          </cell>
          <cell r="C157">
            <v>491800</v>
          </cell>
          <cell r="D157" t="str">
            <v>01010000201F6E000000000000A0E51B4100000000A02B0B41</v>
          </cell>
          <cell r="E157">
            <v>1</v>
          </cell>
          <cell r="F157" t="str">
            <v>بئر الرويشد  2</v>
          </cell>
          <cell r="G157" t="str">
            <v>Rwashed Well 2 &amp; PS</v>
          </cell>
        </row>
        <row r="158">
          <cell r="B158" t="str">
            <v>بئر الكوريدور (13)</v>
          </cell>
          <cell r="C158">
            <v>479120</v>
          </cell>
          <cell r="D158" t="str">
            <v>01010000201F6E00000E914D2C73F51141EDEB9FFD059D0541</v>
          </cell>
          <cell r="E158">
            <v>1</v>
          </cell>
          <cell r="F158" t="str">
            <v>بئر الكردور 13</v>
          </cell>
          <cell r="G158" t="str">
            <v>Corodor 13</v>
          </cell>
        </row>
        <row r="159">
          <cell r="B159" t="str">
            <v>بئر مشتل فيصل (1)+(5)</v>
          </cell>
          <cell r="C159">
            <v>473970</v>
          </cell>
          <cell r="D159" t="str">
            <v>01010000201F6E00000044FA2DEB960C41E09C11A545070641</v>
          </cell>
          <cell r="E159">
            <v>1</v>
          </cell>
          <cell r="F159" t="str">
            <v>بئر مشتل فيصل 1</v>
          </cell>
          <cell r="G159" t="str">
            <v>mashtal faysal well 1</v>
          </cell>
        </row>
        <row r="160">
          <cell r="B160" t="str">
            <v>بئر مشتل فيصل (1)+(5)</v>
          </cell>
          <cell r="C160">
            <v>473970</v>
          </cell>
          <cell r="D160" t="str">
            <v>01010000201F6E00005137890144950C4180C2F56838080641</v>
          </cell>
          <cell r="E160">
            <v>1</v>
          </cell>
          <cell r="F160" t="str">
            <v>بئر مشتل فيصل 5</v>
          </cell>
          <cell r="G160" t="str">
            <v>Mashtal Faysal well 5</v>
          </cell>
        </row>
        <row r="161">
          <cell r="B161" t="str">
            <v>بئر العاقب ك 134</v>
          </cell>
          <cell r="C161">
            <v>466560</v>
          </cell>
          <cell r="D161" t="str">
            <v>01010000201F6E000030A2B4B7CFAB1341C0D1005EBF4C0541</v>
          </cell>
          <cell r="E161">
            <v>5</v>
          </cell>
          <cell r="F161" t="str">
            <v>بئر ك 134</v>
          </cell>
          <cell r="G161" t="str">
            <v>K134 Well</v>
          </cell>
        </row>
        <row r="162">
          <cell r="B162" t="str">
            <v xml:space="preserve"> بئر الزنيه (3)</v>
          </cell>
          <cell r="C162">
            <v>453120</v>
          </cell>
          <cell r="D162" t="str">
            <v>01010000201F6E0000D8B2E0FFA5860F41318449DDC9EF0541</v>
          </cell>
          <cell r="E162">
            <v>1</v>
          </cell>
          <cell r="F162" t="str">
            <v>بئر الزنيه رقم 3</v>
          </cell>
          <cell r="G162" t="str">
            <v>Znaieh Well 3</v>
          </cell>
        </row>
        <row r="163">
          <cell r="B163" t="str">
            <v>بئر الاقتصادية (2)، بئر الاقتصادية (7)</v>
          </cell>
          <cell r="C163">
            <v>450800</v>
          </cell>
          <cell r="D163" t="str">
            <v>01010000201F6E0000904AEA0461071241016A4DF39D880641</v>
          </cell>
          <cell r="E163">
            <v>1</v>
          </cell>
          <cell r="F163" t="str">
            <v>بئرالمنطقة الإقتصادية2</v>
          </cell>
          <cell r="G163" t="str">
            <v>MSEZ Well 2</v>
          </cell>
        </row>
        <row r="164">
          <cell r="B164" t="str">
            <v>بئر مغير السرحان (2)</v>
          </cell>
          <cell r="C164">
            <v>439360</v>
          </cell>
          <cell r="D164" t="str">
            <v>01010000201F6E00006128FB5E5716104111DC043758950941</v>
          </cell>
          <cell r="E164">
            <v>1</v>
          </cell>
          <cell r="F164" t="str">
            <v>بئر مغير السرحان 2</v>
          </cell>
          <cell r="G164" t="str">
            <v>Muogaer sarhan Well 2</v>
          </cell>
        </row>
        <row r="165">
          <cell r="B165" t="str">
            <v>بئر الرويشد (7أ)</v>
          </cell>
          <cell r="C165">
            <v>428640</v>
          </cell>
          <cell r="D165" t="str">
            <v>01010000201F6E0000287E8C59C4CD1B4140E17A9462320B41</v>
          </cell>
          <cell r="E165">
            <v>7</v>
          </cell>
          <cell r="F165" t="str">
            <v>محطة ضخ  الرويشد 7</v>
          </cell>
          <cell r="G165" t="str">
            <v>Rwashed  PS</v>
          </cell>
        </row>
        <row r="166">
          <cell r="B166" t="str">
            <v>بئر النعيمه (6)</v>
          </cell>
          <cell r="C166">
            <v>428320</v>
          </cell>
          <cell r="D166" t="str">
            <v>01010000201F6E0000D2C56D3426E30C417FED7CBF30910841</v>
          </cell>
          <cell r="E166">
            <v>1</v>
          </cell>
          <cell r="F166" t="str">
            <v>بئر النعيمة رقم 6</v>
          </cell>
          <cell r="G166" t="str">
            <v>No'aymeh Well 6</v>
          </cell>
        </row>
        <row r="167">
          <cell r="B167" t="str">
            <v>بئر الكوريدور (6)</v>
          </cell>
          <cell r="C167">
            <v>407360</v>
          </cell>
          <cell r="D167" t="str">
            <v>01010000201F6E0000689A63DB1FDF1141E11EF9C33B930541</v>
          </cell>
          <cell r="E167">
            <v>1</v>
          </cell>
          <cell r="F167" t="str">
            <v>بئر الكردور6</v>
          </cell>
          <cell r="G167" t="str">
            <v>Corodor 6</v>
          </cell>
        </row>
        <row r="168">
          <cell r="B168" t="str">
            <v>بئر مشتل فيصل (3)</v>
          </cell>
          <cell r="C168">
            <v>402270</v>
          </cell>
          <cell r="D168" t="str">
            <v>01010000201F6E0000C17D1D78D48D0C41FFA7C6CB7C050641</v>
          </cell>
          <cell r="E168">
            <v>1</v>
          </cell>
          <cell r="F168" t="str">
            <v>بئر مشتل فيصل 3</v>
          </cell>
          <cell r="G168" t="str">
            <v>Mashtal Faysal Well 3</v>
          </cell>
        </row>
        <row r="169">
          <cell r="B169" t="str">
            <v xml:space="preserve"> بئر سميا  (3)</v>
          </cell>
          <cell r="C169">
            <v>395520</v>
          </cell>
          <cell r="D169" t="str">
            <v>01010000201F6E0000547ABD47BE421041E4F1E8C0EC4D0941</v>
          </cell>
          <cell r="E169">
            <v>7</v>
          </cell>
          <cell r="F169" t="str">
            <v>محطة ضخ  سميا رقم 3</v>
          </cell>
          <cell r="G169" t="str">
            <v>Sumaya Well 3 &amp;Booster &amp;PS</v>
          </cell>
        </row>
        <row r="170">
          <cell r="B170" t="str">
            <v>بئر اسبيره</v>
          </cell>
          <cell r="C170">
            <v>392800</v>
          </cell>
          <cell r="D170" t="str">
            <v>01010000201F6E000014784E5E976C09410FC5BA8BBE060841</v>
          </cell>
          <cell r="E170">
            <v>6</v>
          </cell>
          <cell r="F170" t="str">
            <v>بئر اسبيره</v>
          </cell>
          <cell r="G170" t="str">
            <v>Spairah Well</v>
          </cell>
        </row>
        <row r="171">
          <cell r="B171" t="str">
            <v>بئر ومحطة ضخ مياه العاقب ك 103</v>
          </cell>
          <cell r="C171">
            <v>391040</v>
          </cell>
          <cell r="D171" t="str">
            <v>01010000201F6E00002E71A1AF48EE11419FE0D46BD2840641</v>
          </cell>
          <cell r="E171">
            <v>5</v>
          </cell>
          <cell r="F171" t="str">
            <v>محطة ضخ  ك 103</v>
          </cell>
          <cell r="G171" t="str">
            <v>K103 PS</v>
          </cell>
        </row>
        <row r="172">
          <cell r="B172" t="str">
            <v>بئر ومحطة ضخ مياه الدقمسة</v>
          </cell>
          <cell r="C172">
            <v>386720</v>
          </cell>
          <cell r="D172" t="str">
            <v>01010000201F6E000080A3A9AA8DBD0D41C17248FA95420741</v>
          </cell>
          <cell r="E172">
            <v>5</v>
          </cell>
          <cell r="F172" t="str">
            <v>محطه  ضخ الدقمسه</v>
          </cell>
          <cell r="G172" t="str">
            <v>Daqmaseh PS</v>
          </cell>
        </row>
        <row r="173">
          <cell r="B173" t="str">
            <v>بئر جديتا (3)</v>
          </cell>
          <cell r="C173">
            <v>365760</v>
          </cell>
          <cell r="D173" t="str">
            <v>01010000201F6E000099F518353C320A416A44FF9CFC9C0841</v>
          </cell>
          <cell r="E173">
            <v>1</v>
          </cell>
          <cell r="F173" t="str">
            <v>بئر جديتا 3</v>
          </cell>
          <cell r="G173" t="str">
            <v>Judyta Well 3</v>
          </cell>
        </row>
        <row r="174">
          <cell r="B174" t="str">
            <v>بئر الكوريدور (15)</v>
          </cell>
          <cell r="C174">
            <v>351840</v>
          </cell>
          <cell r="D174" t="str">
            <v>01010000201F6E0000A13FC78DAC001241A239F5BCB0970541</v>
          </cell>
          <cell r="E174">
            <v>1</v>
          </cell>
          <cell r="F174" t="str">
            <v>بئر الكردور 15</v>
          </cell>
          <cell r="G174" t="str">
            <v>Corodor 15</v>
          </cell>
        </row>
        <row r="175">
          <cell r="B175" t="str">
            <v>محطة ضخ مياه بوستر سموع</v>
          </cell>
          <cell r="C175">
            <v>345040</v>
          </cell>
          <cell r="D175" t="str">
            <v>01010000201F6E00004194215D91CB0A41FAE64105421C0A41</v>
          </cell>
          <cell r="E175">
            <v>3</v>
          </cell>
          <cell r="F175" t="str">
            <v>بوستر سموع</v>
          </cell>
          <cell r="G175" t="str">
            <v>Samou Booster</v>
          </cell>
        </row>
        <row r="176">
          <cell r="B176" t="str">
            <v>بئر زقيق (5)</v>
          </cell>
          <cell r="C176">
            <v>341600</v>
          </cell>
          <cell r="D176" t="str">
            <v>01010000201F6E000006541785AFA3094139C6DD7F583F0841</v>
          </cell>
          <cell r="E176">
            <v>1</v>
          </cell>
          <cell r="F176" t="str">
            <v>بئر زقيق 5</v>
          </cell>
          <cell r="G176" t="str">
            <v>Zugayq Well 5</v>
          </cell>
        </row>
        <row r="177">
          <cell r="B177" t="str">
            <v>بئر العاقب ك 103 د/ البستانه</v>
          </cell>
          <cell r="C177">
            <v>339600</v>
          </cell>
          <cell r="D177" t="str">
            <v>01010000201F6E0000BDAC5A034AF51141FB3427E40C970641</v>
          </cell>
          <cell r="E177">
            <v>1</v>
          </cell>
          <cell r="F177" t="str">
            <v>بئر البستانه</v>
          </cell>
          <cell r="G177" t="str">
            <v>AlBustaneh Well</v>
          </cell>
        </row>
        <row r="178">
          <cell r="B178" t="str">
            <v>بئر كريمه (1)</v>
          </cell>
          <cell r="C178">
            <v>337440</v>
          </cell>
          <cell r="D178" t="str">
            <v>01010000201F6E00003031086CC9590941C069DEB17FC70641</v>
          </cell>
          <cell r="E178">
            <v>1</v>
          </cell>
          <cell r="F178" t="str">
            <v>بئر كريمه 1</v>
          </cell>
          <cell r="G178" t="str">
            <v>Krayymeh Well 1</v>
          </cell>
        </row>
        <row r="179">
          <cell r="B179" t="str">
            <v>بئر ومحطة ضخ مياه صبحا وصبحية (1)</v>
          </cell>
          <cell r="C179">
            <v>326080</v>
          </cell>
          <cell r="D179" t="str">
            <v>01010000201F6E000000F77520B8C71141000C9329F69B0741</v>
          </cell>
          <cell r="E179">
            <v>5</v>
          </cell>
          <cell r="F179" t="str">
            <v>محطة ضخ  صبحا و صبحيه</v>
          </cell>
          <cell r="G179" t="str">
            <v>Sabha and Sobheya PS</v>
          </cell>
        </row>
        <row r="180">
          <cell r="B180" t="str">
            <v>محطة تنقية صرف صحي الاكيدر</v>
          </cell>
          <cell r="C180">
            <v>313280</v>
          </cell>
          <cell r="D180" t="str">
            <v>01010000201F6E00003BB5B1366B350F41BDC2D23D34110A41</v>
          </cell>
          <cell r="E180">
            <v>9</v>
          </cell>
          <cell r="F180" t="str">
            <v>محطة تنقية الاكيدر</v>
          </cell>
          <cell r="G180" t="str">
            <v>Al Akaydir WWTP</v>
          </cell>
        </row>
        <row r="181">
          <cell r="B181" t="str">
            <v>بئر عيون الحمام (4)</v>
          </cell>
          <cell r="C181">
            <v>303360</v>
          </cell>
          <cell r="D181" t="str">
            <v>01010000201F6E0000C05B20017B470A41406744A9940A0A41</v>
          </cell>
          <cell r="E181">
            <v>1</v>
          </cell>
          <cell r="F181" t="str">
            <v>بئر عيون الحمام 4</v>
          </cell>
          <cell r="G181" t="str">
            <v>Oyoon Al Hammam Well 4 (4A)</v>
          </cell>
        </row>
        <row r="182">
          <cell r="B182" t="str">
            <v>بئر العاقب ك 96</v>
          </cell>
          <cell r="C182">
            <v>296280</v>
          </cell>
          <cell r="D182" t="str">
            <v>01010000201F6E0000FB4B8DA2CC7311414D86E87B99DA0641</v>
          </cell>
          <cell r="E182">
            <v>5</v>
          </cell>
          <cell r="F182" t="str">
            <v>محطة ضخ  ك 96</v>
          </cell>
          <cell r="G182" t="str">
            <v>K096 PS</v>
          </cell>
        </row>
        <row r="183">
          <cell r="B183" t="str">
            <v>بئر كفراسد (8)</v>
          </cell>
          <cell r="C183">
            <v>292880</v>
          </cell>
          <cell r="D183" t="str">
            <v>01010000201F6E0000557C0467648F0A41D882927FBB860B41</v>
          </cell>
          <cell r="E183">
            <v>1</v>
          </cell>
          <cell r="F183" t="str">
            <v>بئر كفر اسد 8</v>
          </cell>
          <cell r="G183" t="str">
            <v>Kufr Asad 8</v>
          </cell>
        </row>
        <row r="184">
          <cell r="B184" t="str">
            <v>بئر باب عمان</v>
          </cell>
          <cell r="C184">
            <v>290800</v>
          </cell>
          <cell r="D184" t="str">
            <v>01010000201F6E0000F58E1F982E770C414F7BF20E2ACE0641</v>
          </cell>
          <cell r="E184">
            <v>1</v>
          </cell>
          <cell r="F184" t="str">
            <v>بئر باب عمان</v>
          </cell>
          <cell r="G184" t="str">
            <v>Bab Amman Well</v>
          </cell>
        </row>
        <row r="185">
          <cell r="B185" t="str">
            <v>محطة ضخ مياه بوستر تبنه</v>
          </cell>
          <cell r="C185">
            <v>289450</v>
          </cell>
          <cell r="D185" t="str">
            <v>01010000201F6E0000606DC53EF99D0A41E02B6519D6CB0941</v>
          </cell>
          <cell r="E185">
            <v>3</v>
          </cell>
          <cell r="F185" t="str">
            <v>بوستر تبنه</v>
          </cell>
          <cell r="G185" t="str">
            <v>Tubneh Booster</v>
          </cell>
        </row>
        <row r="186">
          <cell r="B186" t="str">
            <v xml:space="preserve"> بئر سميا  (4)</v>
          </cell>
          <cell r="C186">
            <v>286880</v>
          </cell>
          <cell r="D186" t="str">
            <v>01010000201F6E0000000000008048104100000000684E0941</v>
          </cell>
          <cell r="E186">
            <v>1</v>
          </cell>
          <cell r="F186" t="str">
            <v>بئر سميا رقم 4</v>
          </cell>
          <cell r="G186" t="str">
            <v>Sumaya Well 4</v>
          </cell>
        </row>
        <row r="187">
          <cell r="B187" t="str">
            <v>بئر العاقب ك 104</v>
          </cell>
          <cell r="C187">
            <v>281520</v>
          </cell>
          <cell r="D187" t="str">
            <v>01010000201F6E0000FDCBEEC98DFA1141A111A5FDDB7C0641</v>
          </cell>
          <cell r="E187">
            <v>1</v>
          </cell>
          <cell r="F187" t="str">
            <v>بئر ك 104</v>
          </cell>
          <cell r="G187" t="str">
            <v>K104 Well</v>
          </cell>
        </row>
        <row r="188">
          <cell r="B188" t="str">
            <v>محطة ضخ مياه ونبع راحوب</v>
          </cell>
          <cell r="C188">
            <v>280320</v>
          </cell>
          <cell r="D188" t="str">
            <v>01010000201F6E00004191F1E316030D418CBD9799695E0B41</v>
          </cell>
          <cell r="E188">
            <v>5</v>
          </cell>
          <cell r="F188" t="str">
            <v>محطة ضخ ونبع وخزان  راحوب</v>
          </cell>
          <cell r="G188" t="str">
            <v>Rahoub PS Well &amp; Res.</v>
          </cell>
        </row>
        <row r="189">
          <cell r="B189" t="str">
            <v>بئر ومحطة ضخ مياه الفيصلية</v>
          </cell>
          <cell r="C189">
            <v>275040</v>
          </cell>
          <cell r="D189" t="str">
            <v>01010000201F6E000067CC5D8B30C0114140C4B1AEA32C0741</v>
          </cell>
          <cell r="E189">
            <v>5</v>
          </cell>
          <cell r="F189" t="str">
            <v>(محطة ضخ (الفيصلية</v>
          </cell>
          <cell r="G189" t="str">
            <v>Al Faisaliyeh PS</v>
          </cell>
        </row>
        <row r="190">
          <cell r="B190" t="str">
            <v>بئر عيون الحمام (6)</v>
          </cell>
          <cell r="C190">
            <v>268800</v>
          </cell>
          <cell r="D190" t="str">
            <v>01010000201F6E0000530D725D875A0A41F39B51AB75FD0941</v>
          </cell>
          <cell r="E190">
            <v>1</v>
          </cell>
          <cell r="F190" t="str">
            <v>بئر عيون الحمام 6</v>
          </cell>
          <cell r="G190" t="str">
            <v>Oyoon Al Hammam Well 6</v>
          </cell>
        </row>
        <row r="191">
          <cell r="B191" t="str">
            <v>بئر الباعج (4)</v>
          </cell>
          <cell r="C191">
            <v>264000</v>
          </cell>
          <cell r="D191" t="str">
            <v>01010000201F6E0000E24E64D100F11041AB539CD91E660841</v>
          </cell>
          <cell r="E191">
            <v>1</v>
          </cell>
          <cell r="F191" t="str">
            <v>بئر الباعج 4</v>
          </cell>
          <cell r="G191" t="str">
            <v>El Ba'aj 4</v>
          </cell>
        </row>
        <row r="192">
          <cell r="B192" t="str">
            <v>بئر برما (3)</v>
          </cell>
          <cell r="C192">
            <v>259520</v>
          </cell>
          <cell r="D192" t="str">
            <v>01010000201F6E0000509FAB6D5E8B0B41C00512941C250641</v>
          </cell>
          <cell r="E192">
            <v>1</v>
          </cell>
          <cell r="F192" t="str">
            <v>بئر برما</v>
          </cell>
          <cell r="G192" t="str">
            <v>Burma Well</v>
          </cell>
        </row>
        <row r="193">
          <cell r="B193" t="str">
            <v>بئر زقيق (4)</v>
          </cell>
          <cell r="C193">
            <v>248160</v>
          </cell>
          <cell r="D193" t="str">
            <v>01010000201F6E000088903B7C2294094196B37BC5A43C0841</v>
          </cell>
          <cell r="E193">
            <v>6</v>
          </cell>
          <cell r="F193" t="str">
            <v>بئر زقيق 4</v>
          </cell>
          <cell r="G193" t="str">
            <v>Zugayq Well  4</v>
          </cell>
        </row>
        <row r="194">
          <cell r="B194" t="str">
            <v>بئر ابو البصل (3)</v>
          </cell>
          <cell r="C194">
            <v>245920</v>
          </cell>
          <cell r="D194" t="str">
            <v>01010000201F6E0000BFCCCC4C1B430D41E1CCCC4C8B560A41</v>
          </cell>
          <cell r="E194">
            <v>1</v>
          </cell>
          <cell r="F194" t="str">
            <v>بئر ابو البصل  3</v>
          </cell>
          <cell r="G194" t="str">
            <v>Abu Al-Basal Well 3</v>
          </cell>
        </row>
        <row r="195">
          <cell r="B195" t="str">
            <v>بئر مشتل فيصل (2)</v>
          </cell>
          <cell r="C195">
            <v>232080</v>
          </cell>
          <cell r="D195" t="str">
            <v>01010000201F6E0000306519A24E9A0C4140BB274F920C0641</v>
          </cell>
          <cell r="E195">
            <v>1</v>
          </cell>
          <cell r="F195" t="str">
            <v>بئر مشتل فيصل 2</v>
          </cell>
          <cell r="G195" t="str">
            <v>Mashtal Faysal well 2</v>
          </cell>
        </row>
        <row r="196">
          <cell r="B196" t="str">
            <v>بئر كريمه (3)</v>
          </cell>
          <cell r="C196">
            <v>230100</v>
          </cell>
          <cell r="D196" t="str">
            <v>01010000201F6E00004F378981D44E0941215839F487BD0641</v>
          </cell>
          <cell r="E196">
            <v>1</v>
          </cell>
          <cell r="F196" t="str">
            <v>بئر كريمه رقم 3أ</v>
          </cell>
          <cell r="G196" t="str">
            <v>Krayymeh Well 3A</v>
          </cell>
        </row>
        <row r="197">
          <cell r="B197" t="str">
            <v xml:space="preserve"> بئر سميا  (12)</v>
          </cell>
          <cell r="C197">
            <v>227920</v>
          </cell>
          <cell r="D197" t="str">
            <v>01010000201F6E000000000000883A10410000000050340941</v>
          </cell>
          <cell r="E197">
            <v>1</v>
          </cell>
          <cell r="F197" t="str">
            <v>بئر سميا رقم 12</v>
          </cell>
          <cell r="G197" t="str">
            <v>Sumaya Well 12</v>
          </cell>
        </row>
        <row r="198">
          <cell r="B198" t="str">
            <v xml:space="preserve">محطة رفع صرف صحي عين الديك </v>
          </cell>
          <cell r="C198">
            <v>224800</v>
          </cell>
          <cell r="D198" t="str">
            <v>01010000201F6E0000EDB492ABEF1D0C4163BC9A91DDA90641</v>
          </cell>
          <cell r="E198">
            <v>10</v>
          </cell>
          <cell r="F198" t="str">
            <v>محطة رفع عين الديك</v>
          </cell>
          <cell r="G198" t="str">
            <v>Ain Al Deek LS</v>
          </cell>
        </row>
        <row r="199">
          <cell r="B199" t="str">
            <v>محطة ضخ مياه حوشا</v>
          </cell>
          <cell r="C199">
            <v>224010</v>
          </cell>
          <cell r="D199" t="str">
            <v>01010000201F6E00000000000058EF0E4100000000F0FD0841</v>
          </cell>
          <cell r="E199">
            <v>3</v>
          </cell>
          <cell r="F199" t="str">
            <v>محطة ضخ بوستر حوشا</v>
          </cell>
          <cell r="G199" t="str">
            <v>Booster Hosha PS</v>
          </cell>
        </row>
        <row r="200">
          <cell r="B200" t="str">
            <v>محطة رفع صرف صحي حكما</v>
          </cell>
          <cell r="C200">
            <v>217920</v>
          </cell>
          <cell r="D200" t="str">
            <v>01010000201F6E0000725F92990D6E0C4107FAFBB7E4F60A41</v>
          </cell>
          <cell r="E200">
            <v>10</v>
          </cell>
          <cell r="F200" t="str">
            <v>محطة رفع حكما</v>
          </cell>
          <cell r="G200" t="str">
            <v>Hakama  Sewage Lifting Station</v>
          </cell>
        </row>
        <row r="201">
          <cell r="B201" t="str">
            <v>بئر ام القنطرة (2)</v>
          </cell>
          <cell r="C201">
            <v>214400</v>
          </cell>
          <cell r="D201" t="str">
            <v>01010000201F6E00000F95D449C2130D41205C8F82DEB50641</v>
          </cell>
          <cell r="E201">
            <v>1</v>
          </cell>
          <cell r="F201" t="str">
            <v>بئر أم قنطرة 2</v>
          </cell>
          <cell r="G201" t="str">
            <v>Um Qantara 2 Well</v>
          </cell>
        </row>
        <row r="202">
          <cell r="B202" t="str">
            <v>بئر كفراسد (5)</v>
          </cell>
          <cell r="C202">
            <v>214000</v>
          </cell>
          <cell r="D202" t="str">
            <v>01010000201F6E0000468F1CF6CD720A415B5B3DDF3B930B41</v>
          </cell>
          <cell r="E202">
            <v>1</v>
          </cell>
          <cell r="F202" t="str">
            <v>بئر كفر أسد 5</v>
          </cell>
          <cell r="G202" t="str">
            <v>Kufr Asad Well 5</v>
          </cell>
        </row>
        <row r="203">
          <cell r="B203" t="str">
            <v>بئر ومحطة ضخ مياه العاقب ك 111</v>
          </cell>
          <cell r="C203">
            <v>210400</v>
          </cell>
          <cell r="D203" t="str">
            <v>01010000201F6E0000E9A9802488581241FDA19E03243A0641</v>
          </cell>
          <cell r="E203">
            <v>7</v>
          </cell>
          <cell r="F203" t="str">
            <v>محطة ضخ  ك111</v>
          </cell>
          <cell r="G203" t="str">
            <v>K111 PS</v>
          </cell>
        </row>
        <row r="204">
          <cell r="B204" t="str">
            <v>بئر ومحطة ضخ مياه المفردات</v>
          </cell>
          <cell r="C204">
            <v>208880</v>
          </cell>
          <cell r="D204" t="str">
            <v>01010000201F6E000020DBF97E4B95104161CA3244964B0641</v>
          </cell>
          <cell r="E204">
            <v>5</v>
          </cell>
          <cell r="F204" t="str">
            <v>محطة ضخ المفردات</v>
          </cell>
          <cell r="G204" t="str">
            <v>Al-Mofradat  PS</v>
          </cell>
        </row>
        <row r="205">
          <cell r="B205" t="str">
            <v>بئر النعيمه (3)</v>
          </cell>
          <cell r="C205">
            <v>208680</v>
          </cell>
          <cell r="D205" t="str">
            <v>01010000201F6E0000A34481B57B000D419C6FC353F3DA0841</v>
          </cell>
          <cell r="E205">
            <v>5</v>
          </cell>
          <cell r="F205" t="str">
            <v>محطة ضخ  النعيمه 2</v>
          </cell>
          <cell r="G205" t="str">
            <v>No'aymeh PS 2</v>
          </cell>
        </row>
        <row r="206">
          <cell r="B206" t="str">
            <v>محطة رفع صرف صحي وادي حسان</v>
          </cell>
          <cell r="C206">
            <v>203880</v>
          </cell>
          <cell r="D206" t="str">
            <v>01010000201F6E00005628DA0062050D41BD1A5592DC230941</v>
          </cell>
          <cell r="E206">
            <v>10</v>
          </cell>
          <cell r="F206" t="str">
            <v>محطة رفع وادي حسان</v>
          </cell>
          <cell r="G206" t="str">
            <v>Wadi Hassan Sewage LS</v>
          </cell>
        </row>
        <row r="207">
          <cell r="B207" t="str">
            <v xml:space="preserve"> بئر سميا  (8)</v>
          </cell>
          <cell r="C207">
            <v>194560</v>
          </cell>
          <cell r="D207" t="str">
            <v>01010000201F6E0000000000008C5410410000000098470941</v>
          </cell>
          <cell r="E207">
            <v>1</v>
          </cell>
          <cell r="F207" t="str">
            <v>بئر سميا رقم 8</v>
          </cell>
          <cell r="G207" t="str">
            <v>Sumaya Well 8</v>
          </cell>
        </row>
        <row r="208">
          <cell r="B208" t="str">
            <v>بئر النعيمه (2)</v>
          </cell>
          <cell r="C208">
            <v>190860</v>
          </cell>
          <cell r="D208" t="str">
            <v>01010000201F6E0000EE58146E9AD20C4162FF6A217BD10841</v>
          </cell>
          <cell r="E208">
            <v>1</v>
          </cell>
          <cell r="F208" t="str">
            <v>بئر النعيمه رقم3</v>
          </cell>
          <cell r="G208" t="str">
            <v>No'aymeh Well 3</v>
          </cell>
        </row>
        <row r="209">
          <cell r="B209" t="str">
            <v>بئر وادي الدير الشرقي (2)- المالح</v>
          </cell>
          <cell r="C209">
            <v>188880</v>
          </cell>
          <cell r="D209" t="str">
            <v>01010000201F6E000032D67F4C78A30C41A68391BBF9100741</v>
          </cell>
          <cell r="E209">
            <v>1</v>
          </cell>
          <cell r="F209" t="str">
            <v>بئر وادي الدير الشرقي</v>
          </cell>
          <cell r="G209" t="str">
            <v>Wadi Ed Dear Al Shargi Well</v>
          </cell>
        </row>
        <row r="210">
          <cell r="B210" t="str">
            <v>محطة ضخ مياه ونبع عين راسون</v>
          </cell>
          <cell r="C210">
            <v>175680</v>
          </cell>
          <cell r="D210" t="str">
            <v>01010000201F6E0000E6C45A40EA210B4125B40E7F7A6A0841</v>
          </cell>
          <cell r="E210">
            <v>5</v>
          </cell>
          <cell r="F210" t="str">
            <v>محطة ضخ عين راسون</v>
          </cell>
          <cell r="G210" t="str">
            <v>Ain Rason PS</v>
          </cell>
        </row>
        <row r="211">
          <cell r="B211" t="str">
            <v>محطة ضخ مياه ونبع عين جنا+ قسم حركة عجلون</v>
          </cell>
          <cell r="C211">
            <v>171350</v>
          </cell>
          <cell r="D211" t="str">
            <v>01010000201F6E0000E03037B9781D0B412855FB18A79A0741</v>
          </cell>
          <cell r="E211">
            <v>5</v>
          </cell>
          <cell r="F211" t="str">
            <v>محطة ضخ نبع عين جنا</v>
          </cell>
          <cell r="G211" t="str">
            <v>Ain Jana Spring</v>
          </cell>
        </row>
        <row r="212">
          <cell r="B212" t="str">
            <v>بئر الرياشي (3)</v>
          </cell>
          <cell r="C212">
            <v>170480</v>
          </cell>
          <cell r="D212" t="str">
            <v>01010000201F6E000020C9E57FE7110D41405EBA8948890641</v>
          </cell>
          <cell r="E212">
            <v>1</v>
          </cell>
          <cell r="F212" t="str">
            <v>بئر الرياشي 3</v>
          </cell>
          <cell r="G212" t="str">
            <v>Rayashi  Well 3</v>
          </cell>
        </row>
        <row r="213">
          <cell r="B213" t="str">
            <v>محطة ضخ سوف + بئر سوف الغربي</v>
          </cell>
          <cell r="C213">
            <v>170200</v>
          </cell>
          <cell r="D213" t="str">
            <v>01010000201F6E00007A5E7B2DDBC70B4118A8C32A56700741</v>
          </cell>
          <cell r="E213">
            <v>5</v>
          </cell>
          <cell r="F213" t="str">
            <v>محطة ضخ سوف الغربي</v>
          </cell>
          <cell r="G213" t="str">
            <v>Souf Al Gharbi PS &amp; Well west</v>
          </cell>
        </row>
        <row r="214">
          <cell r="B214" t="str">
            <v>خزان مياه جبه</v>
          </cell>
          <cell r="C214">
            <v>151680</v>
          </cell>
          <cell r="D214" t="str">
            <v>01010000201F6E000050E2F2B1C2920C41FFA318235A790541</v>
          </cell>
          <cell r="E214">
            <v>2</v>
          </cell>
          <cell r="F214" t="str">
            <v>خزان جبه</v>
          </cell>
          <cell r="G214" t="str">
            <v>JUBA R</v>
          </cell>
        </row>
        <row r="215">
          <cell r="B215" t="str">
            <v>محطة رفع صرف صحي مخيم الحصن</v>
          </cell>
          <cell r="C215">
            <v>147120</v>
          </cell>
          <cell r="D215" t="str">
            <v>01010000201F6E0000F13C983A4BDA0C41CF73E82C4B8F0941</v>
          </cell>
          <cell r="E215">
            <v>10</v>
          </cell>
          <cell r="F215" t="str">
            <v>محطة رفع مخيم الحصن</v>
          </cell>
          <cell r="G215" t="str">
            <v>Al_Huson camp LS</v>
          </cell>
        </row>
        <row r="216">
          <cell r="B216" t="str">
            <v>بئر ومحطة ضخ مياه ضبعان</v>
          </cell>
          <cell r="C216">
            <v>133680</v>
          </cell>
          <cell r="D216" t="str">
            <v>01010000201F6E000092C56B39D018104171C3A1E685A30541</v>
          </cell>
          <cell r="E216">
            <v>7</v>
          </cell>
          <cell r="F216" t="str">
            <v>محطة ضخ  ضبعان</v>
          </cell>
          <cell r="G216" t="str">
            <v>Daba`an DP5A PS</v>
          </cell>
        </row>
        <row r="217">
          <cell r="B217" t="str">
            <v>بئر الحدود جابر الجسر</v>
          </cell>
          <cell r="C217">
            <v>132880</v>
          </cell>
          <cell r="D217" t="str">
            <v>01010000201F6E000097C4A0384BED0F4133B86598ECF30941</v>
          </cell>
          <cell r="E217">
            <v>1</v>
          </cell>
          <cell r="F217" t="str">
            <v>بئر جسر جابر رقم 1</v>
          </cell>
          <cell r="G217" t="str">
            <v>Jaber Bridge Well 1</v>
          </cell>
        </row>
        <row r="218">
          <cell r="B218" t="str">
            <v>بئر ومحطة ضخ مياه فوعرا</v>
          </cell>
          <cell r="C218">
            <v>132640</v>
          </cell>
          <cell r="D218" t="str">
            <v>01010000201F6E0000AACF6488D23A0B4192CC9852245A0B41</v>
          </cell>
          <cell r="E218">
            <v>5</v>
          </cell>
          <cell r="F218" t="str">
            <v>محطة ضخ  فوعرا</v>
          </cell>
          <cell r="G218" t="str">
            <v>Fo'ara Pumping Station</v>
          </cell>
        </row>
        <row r="219">
          <cell r="B219" t="str">
            <v>محطة ضخ مياه الصفصافة</v>
          </cell>
          <cell r="C219">
            <v>126160</v>
          </cell>
          <cell r="D219" t="str">
            <v>01010000201F6E000027FF9ED3230A0B41F314926C05700641</v>
          </cell>
          <cell r="E219">
            <v>5</v>
          </cell>
          <cell r="F219" t="str">
            <v>محطة ضخ بئر الصفصافه الجديد</v>
          </cell>
          <cell r="G219" t="str">
            <v>Safsafa new Well PS</v>
          </cell>
        </row>
        <row r="220">
          <cell r="B220" t="str">
            <v>شركة مياه اليرموك- الادارة العامة- اشتراك (2)</v>
          </cell>
          <cell r="C220">
            <v>117871</v>
          </cell>
          <cell r="D220" t="str">
            <v>01010000201F6E00008F9FAA97AC2F0C415EF402225C950A41</v>
          </cell>
          <cell r="E220">
            <v>11</v>
          </cell>
          <cell r="F220" t="str">
            <v>شركة مياه اليرموك</v>
          </cell>
          <cell r="G220" t="str">
            <v>YWC HQ Office</v>
          </cell>
        </row>
        <row r="221">
          <cell r="B221" t="str">
            <v>شركة مياه اليرموك- الادارة العامة- اشتراك (3)</v>
          </cell>
          <cell r="C221">
            <v>117871</v>
          </cell>
          <cell r="D221" t="str">
            <v>01010000201F6E00008F9FAA97AC2F0C415EF402225C950A41</v>
          </cell>
          <cell r="E221">
            <v>11</v>
          </cell>
          <cell r="F221" t="str">
            <v>شركة مياه اليرموك</v>
          </cell>
          <cell r="G221" t="str">
            <v>YWC HQ Office</v>
          </cell>
        </row>
        <row r="222">
          <cell r="B222" t="str">
            <v>بئر الخالدية (20)</v>
          </cell>
          <cell r="C222">
            <v>116560</v>
          </cell>
          <cell r="D222" t="str">
            <v>01010000201F6E0000149DF1F18FB81041A42CD1ACD65D0541</v>
          </cell>
          <cell r="E222">
            <v>1</v>
          </cell>
          <cell r="F222" t="str">
            <v>بئر الخالدية 20</v>
          </cell>
          <cell r="G222" t="str">
            <v>Khaldyeh 20</v>
          </cell>
        </row>
        <row r="223">
          <cell r="B223" t="str">
            <v>بئر المجر (1)+ (1أ)</v>
          </cell>
          <cell r="C223">
            <v>107600</v>
          </cell>
          <cell r="D223" t="str">
            <v>01010000201F6E0000896A0709FAE10C41EC669275EEC30641</v>
          </cell>
          <cell r="E223">
            <v>6</v>
          </cell>
          <cell r="F223" t="str">
            <v>خزان وبئر المجر رقم 1</v>
          </cell>
          <cell r="G223" t="str">
            <v>Al Majar Well 1 &amp; R</v>
          </cell>
        </row>
        <row r="224">
          <cell r="B224" t="str">
            <v>شركة مياه اليرموك- الادارة العامة- اشتراك (4)</v>
          </cell>
          <cell r="C224">
            <v>106500</v>
          </cell>
          <cell r="D224" t="str">
            <v>01010000201F6E00008F9FAA97AC2F0C415EF402225C950A41</v>
          </cell>
          <cell r="E224">
            <v>11</v>
          </cell>
          <cell r="F224" t="str">
            <v>شركة مياه اليرموك</v>
          </cell>
          <cell r="G224" t="str">
            <v>YWC HQ Office</v>
          </cell>
        </row>
        <row r="225">
          <cell r="B225" t="str">
            <v>خزان ومحطة ضخ مياه الجبل الأخضر- اشتراك (1)</v>
          </cell>
          <cell r="C225">
            <v>93040</v>
          </cell>
          <cell r="D225" t="str">
            <v>01010000201F6E000023CF10DA5DC10C41CE12B878F6F00641</v>
          </cell>
          <cell r="E225">
            <v>2</v>
          </cell>
          <cell r="F225" t="str">
            <v>خزان جرش الصغير</v>
          </cell>
          <cell r="G225" t="str">
            <v>Jerash Reservoir (Small)</v>
          </cell>
        </row>
        <row r="226">
          <cell r="B226" t="str">
            <v>خزان ومحطة ضخ مياه الجبل الأخضر- اشتراك (1)</v>
          </cell>
          <cell r="C226">
            <v>93040</v>
          </cell>
          <cell r="D226" t="str">
            <v>01010000201F6E000059E7E11636C10C412E3C0A7D29F00641</v>
          </cell>
          <cell r="E226">
            <v>2</v>
          </cell>
          <cell r="F226" t="str">
            <v>خزان جرش الكبير</v>
          </cell>
          <cell r="G226" t="str">
            <v>Jerash R (Big)</v>
          </cell>
        </row>
        <row r="227">
          <cell r="B227" t="str">
            <v>بئر مشتل فيصل (7)</v>
          </cell>
          <cell r="C227">
            <v>85600</v>
          </cell>
          <cell r="D227" t="str">
            <v>01010000201F6E0000E19AE65DCE910C41807AA5EC97010641</v>
          </cell>
          <cell r="E227">
            <v>1</v>
          </cell>
          <cell r="F227" t="str">
            <v>بئر مشتل فيصل 7</v>
          </cell>
          <cell r="G227" t="str">
            <v>mashtal faysal well 7</v>
          </cell>
        </row>
        <row r="228">
          <cell r="B228" t="str">
            <v>محطة رفع صرف صحي بشرى</v>
          </cell>
          <cell r="C228">
            <v>81600</v>
          </cell>
          <cell r="D228" t="str">
            <v>01010000201F6E00005665023ED1B30C413CCC66B4957F0A41</v>
          </cell>
          <cell r="E228">
            <v>10</v>
          </cell>
          <cell r="F228" t="str">
            <v>محطة رفع بشرى</v>
          </cell>
          <cell r="G228" t="str">
            <v>Bushra LS</v>
          </cell>
        </row>
        <row r="229">
          <cell r="B229" t="str">
            <v>بئر تلعة الرز</v>
          </cell>
          <cell r="C229">
            <v>69360</v>
          </cell>
          <cell r="D229" t="str">
            <v>01010000201F6E0000F2FBA9B1A1400C41A03099EA02790541</v>
          </cell>
          <cell r="E229">
            <v>5</v>
          </cell>
          <cell r="F229" t="str">
            <v>محطة و بئر تلعة الرز</v>
          </cell>
          <cell r="G229" t="str">
            <v>Talat Aruz Well and PS</v>
          </cell>
        </row>
        <row r="230">
          <cell r="B230" t="str">
            <v>محطة ضخ مياه بوستر العدسيه</v>
          </cell>
          <cell r="C230">
            <v>69000</v>
          </cell>
          <cell r="D230" t="str">
            <v>01010000201F6E0000A66E69DA0C78094179307A69840C0C41</v>
          </cell>
          <cell r="E230">
            <v>3</v>
          </cell>
          <cell r="F230" t="str">
            <v>بوستر العدسيه</v>
          </cell>
          <cell r="G230" t="str">
            <v>Adassyeh Booster</v>
          </cell>
        </row>
        <row r="231">
          <cell r="B231" t="str">
            <v>شركة مياه اليرموك- ادارة مياه محافظة اربد- مديرية مياه قصبة اربد- اشتراك (2)</v>
          </cell>
          <cell r="C231">
            <v>68136</v>
          </cell>
          <cell r="D231" t="str">
            <v>01010000201F6E0000114FAF54E0330C41815F070E298A0A41</v>
          </cell>
          <cell r="E231">
            <v>11</v>
          </cell>
          <cell r="F231" t="str">
            <v>مديرية مياه اربد</v>
          </cell>
          <cell r="G231" t="str">
            <v>Irbid ROU Office</v>
          </cell>
        </row>
        <row r="232">
          <cell r="B232" t="str">
            <v>شركة مياه اليرموك- إدارة مياه محافظة المفرق- اشتراك (1)</v>
          </cell>
          <cell r="C232">
            <v>59770</v>
          </cell>
          <cell r="D232" t="str">
            <v>01010000201F6E00003739ADC59E221041B26BA255E5010841</v>
          </cell>
          <cell r="E232">
            <v>11</v>
          </cell>
          <cell r="F232" t="str">
            <v>ادارة مياة  المفرق</v>
          </cell>
          <cell r="G232" t="str">
            <v>AL Mafraq ROU Office</v>
          </cell>
        </row>
        <row r="233">
          <cell r="B233" t="str">
            <v>شركة مياه اليرموك- إدارة مياه محافظة المفرق- اشتراك (1)</v>
          </cell>
          <cell r="C233">
            <v>59770</v>
          </cell>
          <cell r="D233" t="str">
            <v>01010000201F6E00000E65852F50221041C9B87DA347000841</v>
          </cell>
          <cell r="E233">
            <v>3</v>
          </cell>
          <cell r="F233" t="str">
            <v>بوستر حيان</v>
          </cell>
          <cell r="G233" t="str">
            <v>Hayyan Booster</v>
          </cell>
        </row>
        <row r="234">
          <cell r="B234" t="str">
            <v>محطة رفع صرف صحي منشية بني حسن</v>
          </cell>
          <cell r="C234">
            <v>58350</v>
          </cell>
          <cell r="D234" t="str">
            <v>01010000201F6E0000A4724D507D310F418EADD598F31B0841</v>
          </cell>
          <cell r="E234">
            <v>10</v>
          </cell>
          <cell r="F234" t="str">
            <v>محطة رفع منشية بني حسن</v>
          </cell>
          <cell r="G234" t="str">
            <v>Manshyyah LS</v>
          </cell>
        </row>
        <row r="235">
          <cell r="B235" t="str">
            <v xml:space="preserve"> بئر الزنيه (4)</v>
          </cell>
          <cell r="C235">
            <v>56480</v>
          </cell>
          <cell r="D235" t="str">
            <v>01010000201F6E00001A0B70E4AB890F41C6AC53311A170641</v>
          </cell>
          <cell r="E235">
            <v>1</v>
          </cell>
          <cell r="F235" t="str">
            <v>بئر الزنيه  رقم 4</v>
          </cell>
          <cell r="G235" t="str">
            <v>Znaieh Well 4</v>
          </cell>
        </row>
        <row r="236">
          <cell r="B236" t="str">
            <v>بئر ومحطة ضخ مياه اسعره</v>
          </cell>
          <cell r="C236">
            <v>53520</v>
          </cell>
          <cell r="D236" t="str">
            <v>01010000201F6E000081B7400266FC0A4120B9FC870B930B41</v>
          </cell>
          <cell r="E236">
            <v>3</v>
          </cell>
          <cell r="F236" t="str">
            <v>محطة ضخ اسعرة</v>
          </cell>
          <cell r="G236" t="str">
            <v>Assara PS</v>
          </cell>
        </row>
        <row r="237">
          <cell r="B237" t="str">
            <v>بئر مرصع</v>
          </cell>
          <cell r="C237">
            <v>47040</v>
          </cell>
          <cell r="D237" t="str">
            <v>01010000201F6E000085C544BD00820C41F938AD44200F0541</v>
          </cell>
          <cell r="E237">
            <v>1</v>
          </cell>
          <cell r="F237" t="str">
            <v>بئر مرصع1</v>
          </cell>
          <cell r="G237" t="str">
            <v>Marsa’ 1 Well</v>
          </cell>
        </row>
        <row r="238">
          <cell r="B238" t="str">
            <v>خزان مياه راس منيف</v>
          </cell>
          <cell r="C238">
            <v>45520</v>
          </cell>
          <cell r="D238" t="str">
            <v>01010000201F6E000000000000E8A80B4100000000683F0841</v>
          </cell>
          <cell r="E238">
            <v>2</v>
          </cell>
          <cell r="F238" t="str">
            <v>خزان راس منيف الجديد</v>
          </cell>
          <cell r="G238" t="str">
            <v>Ras Muneef R New</v>
          </cell>
        </row>
        <row r="239">
          <cell r="B239" t="str">
            <v>خزان مياه راس منيف</v>
          </cell>
          <cell r="C239">
            <v>45520</v>
          </cell>
          <cell r="D239" t="str">
            <v>01010000201F6E000000000000E8A80B4100000000C83F0841</v>
          </cell>
          <cell r="E239">
            <v>2</v>
          </cell>
          <cell r="F239" t="str">
            <v>خزان راس منيف  القديم</v>
          </cell>
          <cell r="G239" t="str">
            <v>Ras Muneef R Old</v>
          </cell>
        </row>
        <row r="240">
          <cell r="B240" t="str">
            <v>شركة مياه اليرموك- الادارة العامة- اشتراك (1)</v>
          </cell>
          <cell r="C240">
            <v>35426</v>
          </cell>
          <cell r="D240" t="str">
            <v>01010000201F6E00008F9FAA97AC2F0C415EF402225C950A41</v>
          </cell>
          <cell r="E240">
            <v>11</v>
          </cell>
          <cell r="F240" t="str">
            <v>شركة مياه اليرموك</v>
          </cell>
          <cell r="G240" t="str">
            <v>YWC HQ Office</v>
          </cell>
        </row>
        <row r="241">
          <cell r="B241" t="str">
            <v>شركة مياه اليرموك- مديرية مياه بني عبيد</v>
          </cell>
          <cell r="C241">
            <v>34026</v>
          </cell>
          <cell r="D241" t="str">
            <v>01010000201F6E000064E338A23D750C4114ECFEFEF1A60941</v>
          </cell>
          <cell r="E241">
            <v>11</v>
          </cell>
          <cell r="F241" t="str">
            <v>مديرية مياه بني عبيد</v>
          </cell>
          <cell r="G241" t="str">
            <v>Bani Obaid ROU Office</v>
          </cell>
        </row>
        <row r="242">
          <cell r="B242" t="str">
            <v>محطة رفع صرف صحي سال</v>
          </cell>
          <cell r="C242">
            <v>32400</v>
          </cell>
          <cell r="D242" t="str">
            <v>01010000201F6E000030ADD9BA47CE0C4181758C4E6E160B41</v>
          </cell>
          <cell r="E242">
            <v>10</v>
          </cell>
          <cell r="F242" t="str">
            <v>محطة رفع سال</v>
          </cell>
          <cell r="G242" t="str">
            <v>Sal LS</v>
          </cell>
        </row>
        <row r="243">
          <cell r="B243" t="str">
            <v>محطة رفع صرف صحي دوقرا</v>
          </cell>
          <cell r="C243">
            <v>31950</v>
          </cell>
          <cell r="D243" t="str">
            <v>01010000201F6E0000E029A6C885C90A415611C5739B310B41</v>
          </cell>
          <cell r="E243">
            <v>10</v>
          </cell>
          <cell r="F243" t="str">
            <v>محطة رفع دوغرا</v>
          </cell>
          <cell r="G243" t="str">
            <v>Dougara LS</v>
          </cell>
        </row>
        <row r="244">
          <cell r="B244" t="str">
            <v>بئر الكوريدور (1)</v>
          </cell>
          <cell r="C244">
            <v>31120</v>
          </cell>
          <cell r="D244" t="str">
            <v>01010000201F6E000084EB542A56F411415FAD946D54620641</v>
          </cell>
          <cell r="E244">
            <v>1</v>
          </cell>
          <cell r="F244" t="str">
            <v>بئر الكردور 1</v>
          </cell>
          <cell r="G244" t="str">
            <v>Corodor 1</v>
          </cell>
        </row>
        <row r="245">
          <cell r="B245" t="str">
            <v>شركة مياه اليرموك- مديرية مياه لواء الكورة- اشتراك (2)</v>
          </cell>
          <cell r="C245">
            <v>28076</v>
          </cell>
          <cell r="D245" t="str">
            <v>01010000201F6E0000DFD86ACCD7320A411B25615B8AED0941</v>
          </cell>
          <cell r="E245">
            <v>11</v>
          </cell>
          <cell r="F245" t="str">
            <v>مديرية مياه الكوره</v>
          </cell>
          <cell r="G245" t="str">
            <v>Al Koura ROU Office</v>
          </cell>
        </row>
        <row r="246">
          <cell r="B246" t="str">
            <v>شركة مياه اليرموك- مديرية مياه لواء الكورة- اشتراك (1)</v>
          </cell>
          <cell r="C246">
            <v>28076</v>
          </cell>
          <cell r="D246" t="str">
            <v>01010000201F6E0000DFD86ACCD7320A411B25615B8AED0941</v>
          </cell>
          <cell r="E246">
            <v>11</v>
          </cell>
          <cell r="F246" t="str">
            <v>مديرية مياه الكوره</v>
          </cell>
          <cell r="G246" t="str">
            <v>Al Koura ROU Office</v>
          </cell>
        </row>
        <row r="247">
          <cell r="B247" t="str">
            <v>محطة تنقية صرف صحي كفرنجة- اشتراك (1)</v>
          </cell>
          <cell r="C247">
            <v>26640</v>
          </cell>
          <cell r="D247" t="str">
            <v>01010000201F6E0000A4A49A42C4310A4100BD8353271D0741</v>
          </cell>
          <cell r="E247">
            <v>9</v>
          </cell>
          <cell r="F247" t="str">
            <v>محطة تنقية كفرنجة</v>
          </cell>
          <cell r="G247" t="str">
            <v>Kofranja WWTP</v>
          </cell>
        </row>
        <row r="248">
          <cell r="B248" t="str">
            <v xml:space="preserve"> محطة ضخ مياه الزعتري (4)</v>
          </cell>
          <cell r="C248">
            <v>25600</v>
          </cell>
          <cell r="D248" t="str">
            <v>01010000201F6E000007AA062D9BB11041CDB7410FE4720741</v>
          </cell>
          <cell r="E248">
            <v>4</v>
          </cell>
          <cell r="F248" t="str">
            <v>محطة ضخ الزعتري</v>
          </cell>
          <cell r="G248" t="str">
            <v>Al Za'tary PS</v>
          </cell>
        </row>
        <row r="249">
          <cell r="B249" t="str">
            <v>محطة رفع صرف صحي بيت راس</v>
          </cell>
          <cell r="C249">
            <v>24958</v>
          </cell>
          <cell r="D249" t="str">
            <v>01010000201F6E00001C0C60011A580C419377DA980F280B41</v>
          </cell>
          <cell r="E249">
            <v>10</v>
          </cell>
          <cell r="F249" t="str">
            <v>محطة رفع بيت راس</v>
          </cell>
          <cell r="G249" t="str">
            <v>Bait Ras LS</v>
          </cell>
        </row>
        <row r="250">
          <cell r="B250" t="str">
            <v xml:space="preserve">محطة ضخ مياه وادي العرب 2 // PS2 اشتراك (1) </v>
          </cell>
          <cell r="C250">
            <v>24459</v>
          </cell>
          <cell r="D250" t="str">
            <v>01010000201F6E0000D8CF579C3DEB0941B1B7CAC72DFD0A41</v>
          </cell>
          <cell r="E250">
            <v>4</v>
          </cell>
          <cell r="F250" t="str">
            <v>PS2 محطة ضخ وادي العرب</v>
          </cell>
          <cell r="G250" t="str">
            <v>Wadi Al Arab PS2 (New &amp; Old)</v>
          </cell>
        </row>
        <row r="251">
          <cell r="B251" t="str">
            <v>بئر ومحطة ضخ مياه الطيبة</v>
          </cell>
          <cell r="C251">
            <v>24080</v>
          </cell>
          <cell r="D251" t="str">
            <v>01010000201F6E000081CE8A3DD56F0A41874B3E5B37A20A41</v>
          </cell>
          <cell r="E251">
            <v>5</v>
          </cell>
          <cell r="F251" t="str">
            <v>محطة ضخ الطيبه</v>
          </cell>
          <cell r="G251" t="str">
            <v>Al Tayybeh PS</v>
          </cell>
        </row>
        <row r="252">
          <cell r="B252" t="str">
            <v xml:space="preserve"> (1)بئر حدود جابر</v>
          </cell>
          <cell r="C252">
            <v>22800</v>
          </cell>
          <cell r="D252" t="str">
            <v>01010000201F6E000007AE407E96F90F416E29FC1F20260A41</v>
          </cell>
          <cell r="E252">
            <v>1</v>
          </cell>
          <cell r="F252" t="str">
            <v>بئر جابر الحدود 1</v>
          </cell>
          <cell r="G252" t="str">
            <v>Jaber Al Hodoud Well 1</v>
          </cell>
        </row>
        <row r="253">
          <cell r="B253" t="str">
            <v>بئر الاقتصادية (3)</v>
          </cell>
          <cell r="C253">
            <v>22720</v>
          </cell>
          <cell r="D253" t="str">
            <v>01010000201F6E0000206C78DAFD0F1241A08026C249A00641</v>
          </cell>
          <cell r="E253">
            <v>1</v>
          </cell>
          <cell r="F253" t="str">
            <v>بئرالمنطقة الإقتصادية3</v>
          </cell>
          <cell r="G253" t="str">
            <v>MSEZ Well 3</v>
          </cell>
        </row>
        <row r="254">
          <cell r="B254" t="str">
            <v>شركة مياه اليرموك- مديرية مياه البادية الشمالية</v>
          </cell>
          <cell r="C254">
            <v>22559</v>
          </cell>
          <cell r="D254" t="str">
            <v>01010000201F6E0000DFD86ACCD7320A411B25615B8AED0941</v>
          </cell>
          <cell r="E254">
            <v>11</v>
          </cell>
          <cell r="F254" t="str">
            <v>مديرية مياه الكوره</v>
          </cell>
          <cell r="G254" t="str">
            <v>Al Koura ROU Office</v>
          </cell>
        </row>
        <row r="255">
          <cell r="B255" t="str">
            <v>خزان مياه  معاذ بن جبل</v>
          </cell>
          <cell r="C255">
            <v>20922</v>
          </cell>
          <cell r="D255" t="str">
            <v>01010000201F6E0000F17A4870FBCA09414B34F15E7B4A0B41</v>
          </cell>
          <cell r="E255">
            <v>2</v>
          </cell>
          <cell r="F255" t="str">
            <v>خزان معاذ الجديد</v>
          </cell>
          <cell r="G255" t="str">
            <v>Mouath new R</v>
          </cell>
        </row>
        <row r="256">
          <cell r="B256" t="str">
            <v>خزان سما الروسان</v>
          </cell>
          <cell r="C256">
            <v>18423</v>
          </cell>
          <cell r="D256" t="str">
            <v>01010000201F6E00007CD7709061EF0B41741F9FD212C60B41</v>
          </cell>
          <cell r="E256">
            <v>2</v>
          </cell>
          <cell r="F256" t="str">
            <v>خزان سما الروسان</v>
          </cell>
          <cell r="G256" t="str">
            <v>Sama El Rosan R</v>
          </cell>
        </row>
        <row r="257">
          <cell r="B257" t="str">
            <v xml:space="preserve">محطة ضخ مياه وادي العرب 2 // PS3 اشتراك (1) </v>
          </cell>
          <cell r="C257">
            <v>17765</v>
          </cell>
          <cell r="D257" t="str">
            <v>01010000201F6E00004514040952D80A41334FEAC6F0540A41</v>
          </cell>
          <cell r="E257">
            <v>4</v>
          </cell>
          <cell r="F257" t="str">
            <v>PS3 محطة ضخ وخزان وادي العرب</v>
          </cell>
          <cell r="G257" t="str">
            <v>Wadi Al Arab PS 3 (New &amp; Old)</v>
          </cell>
        </row>
        <row r="258">
          <cell r="B258" t="str">
            <v>بئر العاقب ك 110</v>
          </cell>
          <cell r="C258">
            <v>17200</v>
          </cell>
          <cell r="D258" t="str">
            <v>01010000201F6E0000E7A2B7010C4F124120F93D0CE8400641</v>
          </cell>
          <cell r="E258">
            <v>1</v>
          </cell>
          <cell r="F258" t="str">
            <v>بئر ك  110</v>
          </cell>
          <cell r="G258" t="str">
            <v>K110 Well</v>
          </cell>
        </row>
        <row r="259">
          <cell r="B259" t="str">
            <v>بئر الاقتصادية (1)</v>
          </cell>
          <cell r="C259">
            <v>16080</v>
          </cell>
          <cell r="D259" t="str">
            <v>01010000201F6E00004CCA773A68031241535541B9FB940641</v>
          </cell>
          <cell r="E259">
            <v>1</v>
          </cell>
          <cell r="F259" t="str">
            <v>بئرالمنطقة الإقتصادية 1</v>
          </cell>
          <cell r="G259" t="str">
            <v>MSEZ Well 1</v>
          </cell>
        </row>
        <row r="260">
          <cell r="B260" t="str">
            <v xml:space="preserve"> بئر الزعتري (10)</v>
          </cell>
          <cell r="C260">
            <v>15840</v>
          </cell>
          <cell r="D260" t="str">
            <v>01010000201F6E0000000000006CBA10410000000058B20641</v>
          </cell>
          <cell r="E260">
            <v>1</v>
          </cell>
          <cell r="F260" t="str">
            <v>بئر الزعتري رقم 10</v>
          </cell>
          <cell r="G260" t="str">
            <v>AL Za'tary Well 10</v>
          </cell>
        </row>
        <row r="261">
          <cell r="B261" t="str">
            <v>بئر الخالدية (30)</v>
          </cell>
          <cell r="C261">
            <v>15440</v>
          </cell>
          <cell r="D261" t="str">
            <v>01010000201F6E0000204A7B2330C91041007C613267660541</v>
          </cell>
          <cell r="E261">
            <v>1</v>
          </cell>
          <cell r="F261" t="str">
            <v>بئر الخالديه 30</v>
          </cell>
          <cell r="G261" t="str">
            <v>Khaldyeh Well  30</v>
          </cell>
        </row>
        <row r="262">
          <cell r="B262" t="str">
            <v>محطة ضخ مياه ونبع القيروان - اشتراك (2)/ فلاتر</v>
          </cell>
          <cell r="C262">
            <v>14851</v>
          </cell>
          <cell r="D262" t="str">
            <v>01010000201F6E0000CA70B9D6AEA20C4183D336F3AFEC0641</v>
          </cell>
          <cell r="E262">
            <v>5</v>
          </cell>
          <cell r="F262" t="str">
            <v>محطة ضخ القيروان</v>
          </cell>
          <cell r="G262" t="str">
            <v>Al Qairawan PS</v>
          </cell>
        </row>
        <row r="263">
          <cell r="B263" t="str">
            <v>شركة مياه اليرموك- ادارة مياه محافظة اربد- مديرية مياه قصبة اربد- اشتراك (7)</v>
          </cell>
          <cell r="C263">
            <v>14194</v>
          </cell>
          <cell r="D263" t="str">
            <v>01010000201F6E0000114FAF54E0330C41815F070E298A0A41</v>
          </cell>
          <cell r="E263">
            <v>11</v>
          </cell>
          <cell r="F263" t="str">
            <v>مديرية مياه اربد</v>
          </cell>
          <cell r="G263" t="str">
            <v>Irbid ROU Office</v>
          </cell>
        </row>
        <row r="264">
          <cell r="B264" t="str">
            <v>قسم الحركة- عين جنا</v>
          </cell>
          <cell r="C264">
            <v>13978</v>
          </cell>
          <cell r="D264" t="str">
            <v>01010000201F6E0000E03037B9781D0B412855FB18A79A0741</v>
          </cell>
          <cell r="E264">
            <v>5</v>
          </cell>
          <cell r="F264" t="str">
            <v>محطة ضخ نبع عين جنا</v>
          </cell>
          <cell r="G264" t="str">
            <v>Ain Jana Spring</v>
          </cell>
        </row>
        <row r="265">
          <cell r="B265" t="str">
            <v>بئر العاقب ك 90</v>
          </cell>
          <cell r="C265">
            <v>13600</v>
          </cell>
          <cell r="D265" t="str">
            <v>01010000201F6E0000C6781CEBA22B1141026970ADEA0C0741</v>
          </cell>
          <cell r="E265">
            <v>1</v>
          </cell>
          <cell r="F265" t="str">
            <v>بئر ك 90</v>
          </cell>
          <cell r="G265" t="str">
            <v>K 90 Well</v>
          </cell>
        </row>
        <row r="266">
          <cell r="B266" t="str">
            <v>شركة مياه اليرموك-  إدارة مياه محافظة المفرق- اشتراك (2)</v>
          </cell>
          <cell r="C266">
            <v>12690</v>
          </cell>
          <cell r="D266" t="str">
            <v>01010000201F6E00003739ADC59E221041B26BA255E5010841</v>
          </cell>
          <cell r="E266">
            <v>11</v>
          </cell>
          <cell r="F266" t="str">
            <v>ادارة مياة  المفرق</v>
          </cell>
          <cell r="G266" t="str">
            <v>AL Mafraq ROU Office</v>
          </cell>
        </row>
        <row r="267">
          <cell r="B267" t="str">
            <v>شركة مياه اليرموك-  إدارة مياه محافظة المفرق- اشتراك (2)</v>
          </cell>
          <cell r="C267">
            <v>12690</v>
          </cell>
          <cell r="D267" t="str">
            <v>01010000201F6E00000E65852F50221041C9B87DA347000841</v>
          </cell>
          <cell r="E267">
            <v>3</v>
          </cell>
          <cell r="F267" t="str">
            <v>بوستر حيان</v>
          </cell>
          <cell r="G267" t="str">
            <v>Hayyan Booster</v>
          </cell>
        </row>
        <row r="268">
          <cell r="B268" t="str">
            <v>خزان مياه طبقة فحل</v>
          </cell>
          <cell r="C268">
            <v>12321</v>
          </cell>
          <cell r="D268" t="str">
            <v>01010000201F6E00001D707AE13265094145565427C53D0941</v>
          </cell>
          <cell r="F268" t="str">
            <v>خزان طبقة فحل</v>
          </cell>
          <cell r="G268" t="str">
            <v>Tabget Fahel Res.</v>
          </cell>
        </row>
        <row r="269">
          <cell r="B269" t="str">
            <v>بئر الاقتصادية (5)</v>
          </cell>
          <cell r="C269">
            <v>11280</v>
          </cell>
          <cell r="D269" t="str">
            <v>01010000201F6E0000488B6CE74732124181D93D394E3E0641</v>
          </cell>
          <cell r="E269">
            <v>1</v>
          </cell>
          <cell r="F269" t="str">
            <v>بئرالمنطقة الإقتصادية5</v>
          </cell>
          <cell r="G269" t="str">
            <v>MSEZ Well 5</v>
          </cell>
        </row>
        <row r="270">
          <cell r="B270" t="str">
            <v>بئر ابو البصل (4)</v>
          </cell>
          <cell r="C270">
            <v>10480</v>
          </cell>
          <cell r="D270" t="str">
            <v>01010000201F6E0000F0E2361A26440D41A13C2C541BBE0A41</v>
          </cell>
          <cell r="E270">
            <v>1</v>
          </cell>
          <cell r="F270" t="str">
            <v>ابو البصل 4</v>
          </cell>
          <cell r="G270" t="str">
            <v>Abu Al-basal Well 4</v>
          </cell>
        </row>
        <row r="271">
          <cell r="B271" t="str">
            <v xml:space="preserve"> بئر الزعتري (7)</v>
          </cell>
          <cell r="C271">
            <v>10320</v>
          </cell>
          <cell r="D271" t="str">
            <v>01010000201F6E000000000000A4AC10410000000008070741</v>
          </cell>
          <cell r="E271">
            <v>1</v>
          </cell>
          <cell r="F271" t="str">
            <v>بئر الزعتري رقم 7</v>
          </cell>
          <cell r="G271" t="str">
            <v>AL Za'tary Well 7</v>
          </cell>
        </row>
        <row r="272">
          <cell r="B272" t="str">
            <v>خزان ومحطة ضخ مياه الجبل الأخضر- اشتراك (2)</v>
          </cell>
          <cell r="C272">
            <v>10100</v>
          </cell>
          <cell r="D272" t="str">
            <v>01010000201F6E000023CF10DA5DC10C41CE12B878F6F00641</v>
          </cell>
          <cell r="E272">
            <v>2</v>
          </cell>
          <cell r="F272" t="str">
            <v>خزان جرش الصغير</v>
          </cell>
          <cell r="G272" t="str">
            <v>Jerash Reservoir (Small)</v>
          </cell>
        </row>
        <row r="273">
          <cell r="B273" t="str">
            <v>خزان ومحطة ضخ مياه الجبل الأخضر- اشتراك (2)</v>
          </cell>
          <cell r="C273">
            <v>10100</v>
          </cell>
          <cell r="D273" t="str">
            <v>01010000201F6E000059E7E11636C10C412E3C0A7D29F00641</v>
          </cell>
          <cell r="E273">
            <v>2</v>
          </cell>
          <cell r="F273" t="str">
            <v>خزان جرش الكبير</v>
          </cell>
          <cell r="G273" t="str">
            <v>Jerash R (Big)</v>
          </cell>
        </row>
        <row r="274">
          <cell r="B274" t="str">
            <v xml:space="preserve">بئر العاقب ك 119  </v>
          </cell>
          <cell r="C274">
            <v>9600</v>
          </cell>
          <cell r="D274" t="str">
            <v>01010000201F6E000026148E7A26E812417C2D553BB6D80541</v>
          </cell>
          <cell r="E274">
            <v>1</v>
          </cell>
          <cell r="F274" t="str">
            <v>بئر ك 119</v>
          </cell>
          <cell r="G274" t="str">
            <v>K119 Well</v>
          </cell>
        </row>
        <row r="275">
          <cell r="B275" t="str">
            <v>خزان مياه عجلون</v>
          </cell>
          <cell r="C275">
            <v>8709</v>
          </cell>
          <cell r="D275" t="str">
            <v>01010000201F6E000000000000D8CE0A4100000000C09A0741</v>
          </cell>
          <cell r="E275">
            <v>2</v>
          </cell>
          <cell r="F275" t="str">
            <v>خزان عجلون</v>
          </cell>
          <cell r="G275" t="str">
            <v>Ajlun Reservoir</v>
          </cell>
        </row>
        <row r="276">
          <cell r="B276" t="str">
            <v>محطة رفع صرف صحي كفرنجه</v>
          </cell>
          <cell r="C276">
            <v>8573</v>
          </cell>
          <cell r="D276" t="str">
            <v>01010000201F6E000016EB7AF007500A418F75FC3092010741</v>
          </cell>
          <cell r="E276">
            <v>10</v>
          </cell>
          <cell r="F276" t="str">
            <v>محطة رفع كفرنجه</v>
          </cell>
          <cell r="G276" t="str">
            <v>kofranja LS</v>
          </cell>
        </row>
        <row r="277">
          <cell r="B277" t="str">
            <v>بئر ابو البصل (1)</v>
          </cell>
          <cell r="C277">
            <v>8320</v>
          </cell>
          <cell r="D277" t="str">
            <v>01010000201F6E000080711BCDF3750D417F6ABCB49D9C0A41</v>
          </cell>
          <cell r="E277">
            <v>1</v>
          </cell>
          <cell r="F277" t="str">
            <v>بئر ابو البصل 1</v>
          </cell>
          <cell r="G277" t="str">
            <v>Abu Al-basal Well 1</v>
          </cell>
        </row>
        <row r="278">
          <cell r="B278" t="str">
            <v xml:space="preserve"> بئر الزعتري (6)</v>
          </cell>
          <cell r="C278">
            <v>7280</v>
          </cell>
          <cell r="D278" t="str">
            <v>01010000201F6E00000000000020B2104100000000B83A0741</v>
          </cell>
          <cell r="E278">
            <v>1</v>
          </cell>
          <cell r="F278" t="str">
            <v>بئر الزعتري رقم 6</v>
          </cell>
          <cell r="G278" t="str">
            <v>AL Za'tary Well 6</v>
          </cell>
        </row>
        <row r="279">
          <cell r="B279" t="str">
            <v>بئر جابر (6)</v>
          </cell>
          <cell r="C279">
            <v>7040</v>
          </cell>
          <cell r="D279" t="str">
            <v>01010000201F6E0000B4C2FB112C8F0E4148776600BA2B0A41</v>
          </cell>
          <cell r="E279">
            <v>1</v>
          </cell>
          <cell r="F279" t="str">
            <v>بئر جابر 6</v>
          </cell>
          <cell r="G279" t="str">
            <v>Jaber Well 6</v>
          </cell>
        </row>
        <row r="280">
          <cell r="B280" t="str">
            <v>شركة مياه اليرموك- مستودع زقلاب</v>
          </cell>
          <cell r="C280">
            <v>6997</v>
          </cell>
          <cell r="D280" t="str">
            <v>01010000201F6E0000801B0DE08B5F0941801B0D601A3B0A41</v>
          </cell>
          <cell r="E280">
            <v>11</v>
          </cell>
          <cell r="F280" t="str">
            <v>مستودع مديرية مياه الاغوار</v>
          </cell>
          <cell r="G280" t="str">
            <v>North Ghor Storage</v>
          </cell>
        </row>
        <row r="281">
          <cell r="B281" t="str">
            <v>بئر ام الجمال</v>
          </cell>
          <cell r="C281">
            <v>6560</v>
          </cell>
          <cell r="D281" t="str">
            <v>01010000201F6E0000C225764470F51041CE4FC0F841340741</v>
          </cell>
          <cell r="E281">
            <v>1</v>
          </cell>
          <cell r="F281" t="str">
            <v>بئر ام الجمال رقم</v>
          </cell>
          <cell r="G281" t="str">
            <v>Um AL Jemal Well</v>
          </cell>
        </row>
        <row r="282">
          <cell r="B282" t="str">
            <v>بئر العاقب ك 94.5</v>
          </cell>
          <cell r="C282">
            <v>6480</v>
          </cell>
          <cell r="D282" t="str">
            <v>01010000201F6E0000000000008048104100000000684E0941</v>
          </cell>
          <cell r="E282">
            <v>1</v>
          </cell>
          <cell r="F282" t="str">
            <v>بئر سميا رقم 4</v>
          </cell>
          <cell r="G282" t="str">
            <v>Sumaya Well 4</v>
          </cell>
        </row>
        <row r="283">
          <cell r="B283" t="str">
            <v xml:space="preserve"> بئر الزعتري (9)</v>
          </cell>
          <cell r="C283">
            <v>6320</v>
          </cell>
          <cell r="D283" t="str">
            <v>01010000201F6E000000000000C4AF10410000000050E70641</v>
          </cell>
          <cell r="E283">
            <v>1</v>
          </cell>
          <cell r="F283" t="str">
            <v>بئر الزعتري رقم 9</v>
          </cell>
          <cell r="G283" t="str">
            <v>AL Za'tary Well 9</v>
          </cell>
        </row>
        <row r="284">
          <cell r="B284" t="str">
            <v>شركة مياه اليرموك- ادارة مياه محافظة اربد- مديرية مياه قصبة اربد- اشتراك (1)</v>
          </cell>
          <cell r="C284">
            <v>5052</v>
          </cell>
          <cell r="D284" t="str">
            <v>01010000201F6E0000114FAF54E0330C41815F070E298A0A41</v>
          </cell>
          <cell r="E284">
            <v>11</v>
          </cell>
          <cell r="F284" t="str">
            <v>مديرية مياه اربد</v>
          </cell>
          <cell r="G284" t="str">
            <v>Irbid ROU Office</v>
          </cell>
        </row>
        <row r="285">
          <cell r="B285" t="str">
            <v>خزان مياه كفرنجة العلوي</v>
          </cell>
          <cell r="C285">
            <v>4774</v>
          </cell>
          <cell r="D285" t="str">
            <v>01010000201F6E0000F9FD09C7775E0A41AA5247F7850E0741</v>
          </cell>
          <cell r="E285">
            <v>2</v>
          </cell>
          <cell r="F285" t="str">
            <v>خزان كفرنجه العلوي</v>
          </cell>
          <cell r="G285" t="str">
            <v>Kufranja Upper R</v>
          </cell>
        </row>
        <row r="286">
          <cell r="B286" t="str">
            <v>بئر صوفره</v>
          </cell>
          <cell r="C286">
            <v>4720</v>
          </cell>
          <cell r="D286" t="str">
            <v>01010000201F6E0000A297B4C16C42094185AC106588290741</v>
          </cell>
          <cell r="E286">
            <v>6</v>
          </cell>
          <cell r="F286" t="str">
            <v>بئر صوفره</v>
          </cell>
          <cell r="G286" t="str">
            <v>Sofarah Well</v>
          </cell>
        </row>
        <row r="287">
          <cell r="B287" t="str">
            <v>خزان برما</v>
          </cell>
          <cell r="C287">
            <v>4707</v>
          </cell>
          <cell r="D287" t="str">
            <v>01010000201F6E00002CC425593B5A0B41DCD7C620A01B0641</v>
          </cell>
          <cell r="F287" t="str">
            <v>عين و خزان برما</v>
          </cell>
          <cell r="G287" t="str">
            <v>Borma R Spring</v>
          </cell>
        </row>
        <row r="288">
          <cell r="B288" t="str">
            <v xml:space="preserve"> بئر الزعتري (3)</v>
          </cell>
          <cell r="C288">
            <v>4560</v>
          </cell>
          <cell r="D288" t="str">
            <v>01010000201F6E0000D5DC41CDD3B010410200947084600741</v>
          </cell>
          <cell r="E288">
            <v>1</v>
          </cell>
          <cell r="F288" t="str">
            <v>بئر الزعتري رقم 3</v>
          </cell>
          <cell r="G288" t="str">
            <v>AL Za'tary Well 3</v>
          </cell>
        </row>
        <row r="289">
          <cell r="B289" t="str">
            <v>شركة مياه اليرموك- إدارة مياه محافظة المفرق-مكتب صيانة الخالدية</v>
          </cell>
          <cell r="C289">
            <v>4546</v>
          </cell>
          <cell r="D289" t="str">
            <v>01010000201F6E0000000000007CA0104100000000A8640541</v>
          </cell>
          <cell r="E289">
            <v>11</v>
          </cell>
          <cell r="F289" t="str">
            <v>مكتب صيانة الخالديه</v>
          </cell>
          <cell r="G289" t="str">
            <v>Khaldyeh MO</v>
          </cell>
        </row>
        <row r="290">
          <cell r="B290" t="str">
            <v>شركة مياه اليرموك- ادارة مياه محافظة اربد- مديرية مياه قصبة اربد- اشتراك (5)</v>
          </cell>
          <cell r="C290">
            <v>4219</v>
          </cell>
          <cell r="D290" t="str">
            <v>01010000201F6E0000114FAF54E0330C41815F070E298A0A41</v>
          </cell>
          <cell r="E290">
            <v>11</v>
          </cell>
          <cell r="F290" t="str">
            <v>مديرية مياه اربد</v>
          </cell>
          <cell r="G290" t="str">
            <v>Irbid ROU Office</v>
          </cell>
        </row>
        <row r="291">
          <cell r="B291" t="str">
            <v>خزان ومحطة ضخ مياه بلعما</v>
          </cell>
          <cell r="C291">
            <v>3960</v>
          </cell>
          <cell r="D291" t="str">
            <v>01010000201F6E00000000000068C90E410000000090610641</v>
          </cell>
          <cell r="E291">
            <v>2</v>
          </cell>
          <cell r="F291" t="str">
            <v>خزان بلعما</v>
          </cell>
          <cell r="G291" t="str">
            <v>Balaama R</v>
          </cell>
        </row>
        <row r="292">
          <cell r="B292" t="str">
            <v>خزان مياه مخيم جرش</v>
          </cell>
          <cell r="C292">
            <v>3738</v>
          </cell>
          <cell r="D292" t="str">
            <v>01010000201F6E0000802D211F67270C4140F697DD9BB90641</v>
          </cell>
          <cell r="E292">
            <v>2</v>
          </cell>
          <cell r="F292" t="str">
            <v>خزان مخيم جرش الجديد</v>
          </cell>
          <cell r="G292" t="str">
            <v>New Jerash Refugee Camp Reservoir</v>
          </cell>
        </row>
        <row r="293">
          <cell r="B293" t="str">
            <v>بئر العاقب ك 94</v>
          </cell>
          <cell r="C293">
            <v>3040</v>
          </cell>
          <cell r="D293" t="str">
            <v>01010000201F6E000000000000F43F11410000000028C60641</v>
          </cell>
          <cell r="E293">
            <v>1</v>
          </cell>
          <cell r="F293" t="str">
            <v>بئر ك 94</v>
          </cell>
          <cell r="G293" t="str">
            <v>K094 Well</v>
          </cell>
        </row>
        <row r="294">
          <cell r="B294" t="str">
            <v>شركة مياه اليرموك- ادارة مياه محافظة اربد- مديرية مياه قصبة اربد- اشتراك (6)</v>
          </cell>
          <cell r="C294">
            <v>2982</v>
          </cell>
          <cell r="D294" t="str">
            <v>01010000201F6E0000114FAF54E0330C41815F070E298A0A41</v>
          </cell>
          <cell r="E294">
            <v>11</v>
          </cell>
          <cell r="F294" t="str">
            <v>مديرية مياه اربد</v>
          </cell>
          <cell r="G294" t="str">
            <v>Irbid ROU Office</v>
          </cell>
        </row>
        <row r="295">
          <cell r="B295" t="str">
            <v xml:space="preserve"> محطة ضخ مياه الزعتري (7)</v>
          </cell>
          <cell r="C295">
            <v>2560</v>
          </cell>
          <cell r="D295" t="str">
            <v>01010000201F6E000007AA062D9BB11041CDB7410FE4720741</v>
          </cell>
          <cell r="E295">
            <v>4</v>
          </cell>
          <cell r="F295" t="str">
            <v>محطة ضخ الزعتري</v>
          </cell>
          <cell r="G295" t="str">
            <v>Al Za'tary PS</v>
          </cell>
        </row>
        <row r="296">
          <cell r="B296" t="str">
            <v>خزان مياه عنجره</v>
          </cell>
          <cell r="C296">
            <v>2559</v>
          </cell>
          <cell r="D296" t="str">
            <v>01010000201F6E0000F8DD2D570B150B416F99B64A74330741</v>
          </cell>
          <cell r="E296">
            <v>2</v>
          </cell>
          <cell r="F296" t="str">
            <v>خزان عنجره</v>
          </cell>
          <cell r="G296" t="str">
            <v>Anjara R</v>
          </cell>
        </row>
        <row r="297">
          <cell r="B297" t="str">
            <v>شركة مياه اليرموك- ادارة مياه محافظة اربد- مديرية مياه قصبة اربد- اشتراك (3)</v>
          </cell>
          <cell r="C297">
            <v>2448</v>
          </cell>
          <cell r="D297" t="str">
            <v>01010000201F6E0000114FAF54E0330C41815F070E298A0A41</v>
          </cell>
          <cell r="E297">
            <v>11</v>
          </cell>
          <cell r="F297" t="str">
            <v>مديرية مياه اربد</v>
          </cell>
          <cell r="G297" t="str">
            <v>Irbid ROU Office</v>
          </cell>
        </row>
        <row r="298">
          <cell r="B298" t="str">
            <v>خزان مياه بليلا</v>
          </cell>
          <cell r="C298">
            <v>2225</v>
          </cell>
          <cell r="D298" t="str">
            <v>01010000201F6E000041E17A94C6F70C41007D3F35F7400841</v>
          </cell>
          <cell r="E298">
            <v>2</v>
          </cell>
          <cell r="F298" t="str">
            <v>خزان بليلا</v>
          </cell>
          <cell r="G298" t="str">
            <v>Balela R</v>
          </cell>
        </row>
        <row r="299">
          <cell r="B299" t="str">
            <v>خزان مياه راجب</v>
          </cell>
          <cell r="C299">
            <v>2190</v>
          </cell>
          <cell r="D299" t="str">
            <v>01010000201F6E00000000000060530A4100000000683D0641</v>
          </cell>
          <cell r="E299">
            <v>2</v>
          </cell>
          <cell r="F299" t="str">
            <v>خزان راجب</v>
          </cell>
          <cell r="G299" t="str">
            <v>Rajib R</v>
          </cell>
        </row>
        <row r="300">
          <cell r="B300" t="str">
            <v>خزان مياه مخيم سوف</v>
          </cell>
          <cell r="C300">
            <v>2088</v>
          </cell>
          <cell r="D300" t="str">
            <v>01010000201F6E00000000000008820C4100000000805C0741</v>
          </cell>
          <cell r="E300">
            <v>2</v>
          </cell>
          <cell r="F300" t="str">
            <v>خزان مخيم سوف</v>
          </cell>
          <cell r="G300" t="str">
            <v>Souf Refugee R</v>
          </cell>
        </row>
        <row r="301">
          <cell r="B301" t="str">
            <v xml:space="preserve"> بئر الزنيه (5)</v>
          </cell>
          <cell r="C301">
            <v>1760</v>
          </cell>
          <cell r="D301" t="str">
            <v>01010000201F6E0000703307C224970F41F4CD55DFABFE0541</v>
          </cell>
          <cell r="E301">
            <v>1</v>
          </cell>
          <cell r="F301" t="str">
            <v>بئر الزنيه رقم 5</v>
          </cell>
          <cell r="G301" t="str">
            <v>Znaieh Well 5</v>
          </cell>
        </row>
        <row r="302">
          <cell r="B302" t="str">
            <v>بئر العاقب ك 101</v>
          </cell>
          <cell r="C302">
            <v>1600</v>
          </cell>
          <cell r="D302" t="str">
            <v>01010000201F6E0000BD5E0F6922C1114148BBB57854A70641</v>
          </cell>
          <cell r="E302">
            <v>1</v>
          </cell>
          <cell r="F302" t="str">
            <v>بئر ك 101</v>
          </cell>
          <cell r="G302" t="str">
            <v>K101 Well</v>
          </cell>
        </row>
        <row r="303">
          <cell r="B303" t="str">
            <v xml:space="preserve"> بئر الزنيه (6)</v>
          </cell>
          <cell r="C303">
            <v>1600</v>
          </cell>
          <cell r="D303" t="str">
            <v>01010000201F6E0000D0393D54A94E0F419A98F8D1C90D0641</v>
          </cell>
          <cell r="E303">
            <v>1</v>
          </cell>
          <cell r="F303" t="str">
            <v>بئر الزنيه رقم 6</v>
          </cell>
          <cell r="G303" t="str">
            <v>Znaieh Well 6</v>
          </cell>
        </row>
        <row r="304">
          <cell r="B304" t="str">
            <v>خزان مياه ساكب</v>
          </cell>
          <cell r="C304">
            <v>1427</v>
          </cell>
          <cell r="D304" t="str">
            <v>01010000201F6E00000066BA7838A40B4129B8EF7D69F50641</v>
          </cell>
          <cell r="E304">
            <v>5</v>
          </cell>
          <cell r="F304" t="str">
            <v>محطة ضخ  ساكب</v>
          </cell>
          <cell r="G304" t="str">
            <v>Sakeb PS</v>
          </cell>
        </row>
        <row r="305">
          <cell r="B305" t="str">
            <v>بئر ومحطة ضخ مياه رحاب</v>
          </cell>
          <cell r="C305">
            <v>1360</v>
          </cell>
          <cell r="D305" t="str">
            <v>01010000201F6E00009D35289E5E550E4178EF085CC27D0741</v>
          </cell>
          <cell r="E305">
            <v>1</v>
          </cell>
          <cell r="F305" t="str">
            <v>حمامة العموش</v>
          </cell>
          <cell r="G305" t="str">
            <v>Hamamit Alamoush</v>
          </cell>
        </row>
        <row r="306">
          <cell r="B306" t="str">
            <v>بئر العاقب ك 111.5</v>
          </cell>
          <cell r="C306">
            <v>1200</v>
          </cell>
          <cell r="D306" t="str">
            <v>01010000201F6E00002E4C7FA0B35D12410773759340450641</v>
          </cell>
          <cell r="E306">
            <v>1</v>
          </cell>
          <cell r="F306" t="str">
            <v>بئر ك111.5 (نايفه)</v>
          </cell>
          <cell r="G306" t="str">
            <v>K111.5 (Nayfeh)</v>
          </cell>
        </row>
        <row r="307">
          <cell r="B307" t="str">
            <v xml:space="preserve"> بئر الزعتري (4)</v>
          </cell>
          <cell r="C307">
            <v>560</v>
          </cell>
          <cell r="D307" t="str">
            <v>01010000201F6E00000000000088AD10410000000078460741</v>
          </cell>
          <cell r="E307">
            <v>1</v>
          </cell>
          <cell r="F307" t="str">
            <v>بئر الزعتري رقم 4</v>
          </cell>
          <cell r="G307" t="str">
            <v>AL Za'tary Well 4</v>
          </cell>
        </row>
        <row r="308">
          <cell r="B308" t="str">
            <v>شركة مياه اليرموك- ادارة مياه محافظة اربد- مديرية مياه قصبة اربد- اشتراك (4)</v>
          </cell>
          <cell r="C308">
            <v>531</v>
          </cell>
          <cell r="D308" t="str">
            <v>01010000201F6E0000114FAF54E0330C41815F070E298A0A41</v>
          </cell>
          <cell r="E308">
            <v>11</v>
          </cell>
          <cell r="F308" t="str">
            <v>مديرية مياه اربد</v>
          </cell>
          <cell r="G308" t="str">
            <v>Irbid ROU Office</v>
          </cell>
        </row>
        <row r="309">
          <cell r="B309" t="str">
            <v>بئر المكيفتة (4)</v>
          </cell>
          <cell r="C309">
            <v>400</v>
          </cell>
          <cell r="D309" t="str">
            <v>01010000201F6E0000BFB88DA692C1124161AA609429010741</v>
          </cell>
          <cell r="E309">
            <v>7</v>
          </cell>
          <cell r="F309" t="str">
            <v>محطة ضخ المكيفتة 4</v>
          </cell>
          <cell r="G309" t="str">
            <v>Mukaifteh PS</v>
          </cell>
        </row>
        <row r="310">
          <cell r="B310" t="str">
            <v xml:space="preserve"> بئر سميا  (6)</v>
          </cell>
          <cell r="C310">
            <v>400</v>
          </cell>
          <cell r="D310" t="str">
            <v>01010000201F6E0000A88BDB28013C1041818A8EA4805A0941</v>
          </cell>
          <cell r="E310">
            <v>1</v>
          </cell>
          <cell r="F310" t="str">
            <v>بئر سميارقم 6</v>
          </cell>
          <cell r="G310" t="str">
            <v>Sumaya Well 6</v>
          </cell>
        </row>
        <row r="311">
          <cell r="B311" t="str">
            <v>مكتب وزارة المياه والري- الرصد الجوي</v>
          </cell>
          <cell r="C311">
            <v>120</v>
          </cell>
          <cell r="D311" t="str">
            <v>01010000201F6E00002D306E5BF92B0A41FBCD2A3680CD0941</v>
          </cell>
          <cell r="E311">
            <v>11</v>
          </cell>
          <cell r="F311" t="str">
            <v>مكتب صيانة مديرية مياه</v>
          </cell>
          <cell r="G311" t="str">
            <v>Al Koura ROU M. Office</v>
          </cell>
        </row>
        <row r="312">
          <cell r="B312" t="str">
            <v xml:space="preserve">محطة ضخ مياه وادي العرب 2 // PS3 اشتراك (2) </v>
          </cell>
          <cell r="C312">
            <v>84</v>
          </cell>
          <cell r="D312" t="str">
            <v>01010000201F6E00004514040952D80A41334FEAC6F0540A41</v>
          </cell>
          <cell r="E312">
            <v>4</v>
          </cell>
          <cell r="F312" t="str">
            <v>PS3 محطة ضخ وخزان وادي العرب</v>
          </cell>
          <cell r="G312" t="str">
            <v>Wadi Al Arab PS 3 (New &amp; Old)</v>
          </cell>
        </row>
        <row r="313">
          <cell r="B313" t="str">
            <v xml:space="preserve"> محطة ضخ مياه الزعتري (3)</v>
          </cell>
          <cell r="C313">
            <v>0</v>
          </cell>
          <cell r="D313" t="str">
            <v>01010000201F6E000007AA062D9BB11041CDB7410FE4720741</v>
          </cell>
          <cell r="E313">
            <v>4</v>
          </cell>
          <cell r="F313" t="str">
            <v>محطة ضخ الزعتري</v>
          </cell>
          <cell r="G313" t="str">
            <v>Al Za'tary PS</v>
          </cell>
        </row>
        <row r="314">
          <cell r="B314" t="str">
            <v xml:space="preserve"> محطة ضخ مياه الزعتري (5)</v>
          </cell>
          <cell r="C314">
            <v>0</v>
          </cell>
          <cell r="D314" t="str">
            <v>01010000201F6E000007AA062D9BB11041CDB7410FE4720741</v>
          </cell>
          <cell r="E314">
            <v>4</v>
          </cell>
          <cell r="F314" t="str">
            <v>محطة ضخ الزعتري</v>
          </cell>
          <cell r="G314" t="str">
            <v>Al Za'tary PS</v>
          </cell>
        </row>
        <row r="315">
          <cell r="B315" t="str">
            <v xml:space="preserve">محطة ضخ مياه وادي العرب 2 // PS2 اشتراك (2) </v>
          </cell>
          <cell r="C315">
            <v>0</v>
          </cell>
          <cell r="D315" t="str">
            <v>01010000201F6E0000D8CF579C3DEB0941B1B7CAC72DFD0A41</v>
          </cell>
          <cell r="E315">
            <v>4</v>
          </cell>
          <cell r="F315" t="str">
            <v>PS2 محطة ضخ وادي العرب</v>
          </cell>
          <cell r="G315" t="str">
            <v>Wadi Al Arab PS2 (New &amp; Old)</v>
          </cell>
        </row>
        <row r="316">
          <cell r="B316" t="str">
            <v>بئر العاقب ك 107</v>
          </cell>
          <cell r="C316">
            <v>0</v>
          </cell>
          <cell r="D316" t="str">
            <v>01010000201F6E000004AEBEE5C728124170AF6617D05A0641</v>
          </cell>
          <cell r="E316">
            <v>1</v>
          </cell>
          <cell r="F316" t="str">
            <v>بئر ك 107</v>
          </cell>
          <cell r="G316" t="str">
            <v>K107 Well</v>
          </cell>
        </row>
        <row r="317">
          <cell r="B317" t="str">
            <v xml:space="preserve"> بئر الزعتري (5)</v>
          </cell>
          <cell r="C317">
            <v>0</v>
          </cell>
          <cell r="D317" t="str">
            <v>01010000201F6E00000000000078AB104100000000D0320741</v>
          </cell>
          <cell r="E317">
            <v>1</v>
          </cell>
          <cell r="F317" t="str">
            <v>بئر الزعتري رقم 5</v>
          </cell>
          <cell r="G317" t="str">
            <v>AL Za'tary Well 5</v>
          </cell>
        </row>
        <row r="318">
          <cell r="B318" t="str">
            <v>محطة تنقية صرف صحي شرق جرش- اشتراك (1)</v>
          </cell>
          <cell r="C318">
            <v>0</v>
          </cell>
          <cell r="D318" t="str">
            <v>01010000201F6E00000000000070A10C4100000000C8B60641</v>
          </cell>
          <cell r="E318">
            <v>9</v>
          </cell>
          <cell r="F318" t="str">
            <v>محطة تنقية جرش</v>
          </cell>
          <cell r="G318" t="str">
            <v>Jerash WWTP</v>
          </cell>
        </row>
        <row r="319">
          <cell r="B319" t="str">
            <v>بئر جابر (2)</v>
          </cell>
          <cell r="C319">
            <v>0</v>
          </cell>
          <cell r="D319" t="str">
            <v>01010000201F6E0000DA44C006E58D0E417290AA9B665B0A41</v>
          </cell>
          <cell r="E319">
            <v>1</v>
          </cell>
          <cell r="F319" t="str">
            <v>بئر جابر2</v>
          </cell>
          <cell r="G319" t="str">
            <v>Jaber Well 2</v>
          </cell>
        </row>
        <row r="320">
          <cell r="B320" t="str">
            <v xml:space="preserve"> بئر سميا  (5)</v>
          </cell>
          <cell r="C320">
            <v>0</v>
          </cell>
          <cell r="D320" t="str">
            <v>01010000201F6E0000000000009441104100000000485C0941</v>
          </cell>
          <cell r="E320">
            <v>1</v>
          </cell>
          <cell r="F320" t="str">
            <v>بئر سميا رقم5</v>
          </cell>
          <cell r="G320" t="str">
            <v>Sumaya Well 5</v>
          </cell>
        </row>
        <row r="321">
          <cell r="B321" t="str">
            <v>بئر جابر (4)</v>
          </cell>
          <cell r="C321">
            <v>0</v>
          </cell>
          <cell r="D321" t="str">
            <v>01010000201F6E0000FBFDAFAE38720E41BB149086C0930A41</v>
          </cell>
          <cell r="E321">
            <v>1</v>
          </cell>
          <cell r="F321" t="str">
            <v>بئر جابر رقم4</v>
          </cell>
          <cell r="G321" t="str">
            <v>Jaber Well 4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kW@6000H" TargetMode="External" Id="rId1" /><Relationship Type="http://schemas.openxmlformats.org/officeDocument/2006/relationships/hyperlink" Target="mailto:kW@6000H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0"/>
  <sheetViews>
    <sheetView tabSelected="1" zoomScale="134" workbookViewId="0">
      <selection activeCell="C2" sqref="C2"/>
    </sheetView>
  </sheetViews>
  <sheetFormatPr baseColWidth="10" defaultRowHeight="14.4"/>
  <cols>
    <col width="39.88671875" customWidth="1" style="22" min="1" max="3"/>
    <col width="14.33203125" bestFit="1" customWidth="1" style="22" min="4" max="4"/>
    <col width="14.44140625" bestFit="1" customWidth="1" style="22" min="5" max="5"/>
    <col width="11.5546875" customWidth="1" style="20" min="6" max="7"/>
    <col width="11.5546875" customWidth="1" style="20" min="11" max="11"/>
    <col width="18.88671875" customWidth="1" style="20" min="12" max="13"/>
    <col width="11.5546875" customWidth="1" style="20" min="14" max="16384"/>
  </cols>
  <sheetData>
    <row r="1">
      <c r="A1" s="25" t="n"/>
      <c r="B1" s="25" t="n"/>
      <c r="C1" s="26" t="inlineStr">
        <is>
          <t>GIS</t>
        </is>
      </c>
    </row>
    <row r="2" ht="13.8" customFormat="1" customHeight="1" s="17">
      <c r="A2" s="17" t="inlineStr">
        <is>
          <t>old_name (subscirption name)</t>
        </is>
      </c>
      <c r="B2" s="17" t="inlineStr">
        <is>
          <t>Name AR - corrected by Muneer</t>
        </is>
      </c>
      <c r="C2" s="17" t="inlineStr">
        <is>
          <t>FACNAMEEN</t>
        </is>
      </c>
      <c r="D2" s="17" t="inlineStr">
        <is>
          <t>X</t>
        </is>
      </c>
      <c r="E2" s="17" t="inlineStr">
        <is>
          <t>Y</t>
        </is>
      </c>
      <c r="F2" s="17" t="inlineStr">
        <is>
          <t>old X</t>
        </is>
      </c>
      <c r="G2" s="17" t="inlineStr">
        <is>
          <t>oldY</t>
        </is>
      </c>
      <c r="H2" s="17" t="inlineStr">
        <is>
          <t>2025-kWh</t>
        </is>
      </c>
      <c r="I2" s="17" t="inlineStr">
        <is>
          <t>kW-6000h</t>
        </is>
      </c>
      <c r="J2" s="17" t="inlineStr">
        <is>
          <t>2024-kWh</t>
        </is>
      </c>
      <c r="K2" s="17" t="inlineStr">
        <is>
          <t>kW-6000h</t>
        </is>
      </c>
      <c r="L2" s="17" t="inlineStr">
        <is>
          <t>Delta 2025/2024</t>
        </is>
      </c>
      <c r="M2" s="17" t="inlineStr">
        <is>
          <t>Type</t>
        </is>
      </c>
      <c r="O2" s="17" t="inlineStr">
        <is>
          <t>X transfer</t>
        </is>
      </c>
      <c r="P2" s="18" t="inlineStr"/>
      <c r="Q2" s="17" t="inlineStr">
        <is>
          <t>temp1</t>
        </is>
      </c>
      <c r="R2" s="17" t="inlineStr">
        <is>
          <t>temp2</t>
        </is>
      </c>
      <c r="U2" s="17" t="inlineStr">
        <is>
          <t>Y transfer</t>
        </is>
      </c>
      <c r="V2" s="18" t="inlineStr"/>
      <c r="W2" s="17" t="inlineStr">
        <is>
          <t>temp1</t>
        </is>
      </c>
      <c r="X2" s="17" t="inlineStr">
        <is>
          <t>temp2</t>
        </is>
      </c>
    </row>
    <row r="3" ht="16.8" customHeight="1">
      <c r="A3" s="15" t="inlineStr">
        <is>
          <t>خزان بئركريمة</t>
        </is>
      </c>
      <c r="B3" s="2" t="inlineStr">
        <is>
          <t>خزان  مياه كريمه</t>
        </is>
      </c>
      <c r="C3" s="23" t="inlineStr">
        <is>
          <t>Krayymeh R</t>
        </is>
      </c>
      <c r="D3" s="22" t="inlineStr">
        <is>
          <t>35.6053638888889</t>
        </is>
      </c>
      <c r="E3" s="22" t="inlineStr">
        <is>
          <t>32.2709583333333</t>
        </is>
      </c>
      <c r="F3" s="5" t="inlineStr">
        <is>
          <t>35°36'19,31"E</t>
        </is>
      </c>
      <c r="G3" s="5" t="inlineStr">
        <is>
          <t>32°16'15,45"N</t>
        </is>
      </c>
      <c r="H3" s="20">
        <f>IFERROR(VLOOKUP(A3,[1]PIVOT!$B$4:$E$391,3,FALSE),"")</f>
        <v/>
      </c>
      <c r="I3" s="19">
        <f>H3/6000</f>
        <v/>
      </c>
      <c r="J3" s="19">
        <f>IFERROR(VLOOKUP(A3,[2]PIVOT!$A$4:$B$388,2,FALSE),"")</f>
        <v/>
      </c>
      <c r="K3" s="19">
        <f>J3/6000</f>
        <v/>
      </c>
      <c r="L3" s="21">
        <f>H3/J3-1</f>
        <v/>
      </c>
      <c r="M3" s="21">
        <f>VLOOKUP(A3,[1]PIVOT!$B$4:$C$400,2,FALSE)</f>
        <v/>
      </c>
      <c r="N3" s="19" t="n"/>
      <c r="O3" s="20">
        <f>LEFT(F3,2)</f>
        <v/>
      </c>
      <c r="P3" s="20">
        <f>RIGHT(LEFT(F3,SEARCH("'",F3)-1),2)</f>
        <v/>
      </c>
      <c r="Q3" s="20">
        <f>LEN(F3)</f>
        <v/>
      </c>
      <c r="R3" s="20">
        <f>RIGHT(F3,Q3-SEARCH("'",F3))</f>
        <v/>
      </c>
      <c r="S3" s="20">
        <f>LEFT(R3,SEARCH("""",R3)-1)</f>
        <v/>
      </c>
      <c r="U3" s="20">
        <f>LEFT(G3,2)</f>
        <v/>
      </c>
      <c r="V3" s="20">
        <f>RIGHT(LEFT(G3,SEARCH("'",G3)-1),2)</f>
        <v/>
      </c>
      <c r="W3" s="20">
        <f>LEN(G3)</f>
        <v/>
      </c>
      <c r="X3" s="20">
        <f>RIGHT(G3,W3-SEARCH("'",G3))</f>
        <v/>
      </c>
      <c r="Y3" s="20">
        <f>LEFT(X3,SEARCH("""",X3)-1)</f>
        <v/>
      </c>
    </row>
    <row r="4" ht="16.8" customHeight="1">
      <c r="A4" s="16" t="inlineStr">
        <is>
          <t>سلطة المياة التحلية</t>
        </is>
      </c>
      <c r="B4" s="3" t="inlineStr">
        <is>
          <t>محطة تحلية كريمه+ بئر (4)(5)</t>
        </is>
      </c>
      <c r="C4" s="30" t="inlineStr">
        <is>
          <t>Al Kraymeh WTP , Kraymeh5</t>
        </is>
      </c>
      <c r="D4" s="22" t="inlineStr">
        <is>
          <t>35.6014027777778</t>
        </is>
      </c>
      <c r="E4" s="22" t="inlineStr">
        <is>
          <t>32.2664916666667</t>
        </is>
      </c>
      <c r="F4" s="6" t="inlineStr">
        <is>
          <t>35°36'5,05"E</t>
        </is>
      </c>
      <c r="G4" s="6" t="inlineStr">
        <is>
          <t>32°15'59,37"N</t>
        </is>
      </c>
      <c r="H4" s="20">
        <f>IFERROR(VLOOKUP(A4,[1]PIVOT!$B$4:$E$391,3,FALSE),"")</f>
        <v/>
      </c>
      <c r="I4" s="19">
        <f>H4/6000</f>
        <v/>
      </c>
      <c r="J4" s="19">
        <f>IFERROR(VLOOKUP(A4,[2]PIVOT!$A$4:$B$388,2,FALSE),"")</f>
        <v/>
      </c>
      <c r="K4" s="19">
        <f>J4/6000</f>
        <v/>
      </c>
      <c r="L4" s="21">
        <f>H4/J4-1</f>
        <v/>
      </c>
      <c r="M4" s="21">
        <f>VLOOKUP(A4,[1]PIVOT!$B$4:$C$400,2,FALSE)</f>
        <v/>
      </c>
      <c r="N4" s="19" t="n"/>
      <c r="O4" s="20">
        <f>LEFT(F4,2)</f>
        <v/>
      </c>
      <c r="P4" s="20">
        <f>RIGHT(LEFT(F4,SEARCH("'",F4)-1),2)</f>
        <v/>
      </c>
      <c r="Q4" s="20">
        <f>LEN(F4)</f>
        <v/>
      </c>
      <c r="R4" s="20">
        <f>RIGHT(F4,Q4-SEARCH("'",F4))</f>
        <v/>
      </c>
      <c r="S4" s="20">
        <f>LEFT(R4,SEARCH("""",R4)-1)</f>
        <v/>
      </c>
      <c r="U4" s="20">
        <f>LEFT(G4,2)</f>
        <v/>
      </c>
      <c r="V4" s="20">
        <f>RIGHT(LEFT(G4,SEARCH("'",G4)-1),2)</f>
        <v/>
      </c>
      <c r="W4" s="20">
        <f>LEN(G4)</f>
        <v/>
      </c>
      <c r="X4" s="20">
        <f>RIGHT(G4,W4-SEARCH("'",G4))</f>
        <v/>
      </c>
      <c r="Y4" s="20">
        <f>LEFT(X4,SEARCH("""",X4)-1)</f>
        <v/>
      </c>
    </row>
    <row r="5" ht="16.8" customHeight="1">
      <c r="A5" s="16" t="n"/>
      <c r="B5" s="31" t="n"/>
      <c r="C5" s="23" t="n"/>
      <c r="F5" s="6" t="n"/>
      <c r="G5" s="6" t="n"/>
      <c r="H5" s="20" t="n"/>
      <c r="I5" s="19" t="n"/>
      <c r="J5" s="19" t="n"/>
      <c r="K5" s="19" t="n"/>
      <c r="L5" s="21" t="n"/>
      <c r="M5" s="21" t="n"/>
      <c r="N5" s="19" t="n"/>
    </row>
    <row r="6" ht="16.8" customHeight="1">
      <c r="A6" s="16" t="n"/>
      <c r="B6" s="32" t="n"/>
      <c r="C6" s="23" t="n"/>
      <c r="F6" s="6" t="n"/>
      <c r="G6" s="6" t="n"/>
      <c r="H6" s="20" t="n"/>
      <c r="I6" s="19" t="n"/>
      <c r="J6" s="19" t="n"/>
      <c r="K6" s="19" t="n"/>
      <c r="L6" s="21" t="n"/>
      <c r="M6" s="21" t="n"/>
      <c r="N6" s="19" t="n"/>
    </row>
    <row r="7" ht="16.8" customHeight="1">
      <c r="A7" s="15" t="inlineStr">
        <is>
          <t>مياه الاغوار بئر كريمه (1)/017</t>
        </is>
      </c>
      <c r="B7" s="2" t="inlineStr">
        <is>
          <t>بئر كريمه (1)</t>
        </is>
      </c>
      <c r="C7" s="23" t="inlineStr">
        <is>
          <t>Krayymeh Well 1</t>
        </is>
      </c>
      <c r="D7" s="22" t="inlineStr">
        <is>
          <t>35.6102222222222</t>
        </is>
      </c>
      <c r="E7" s="22" t="inlineStr">
        <is>
          <t>32.2724722222222</t>
        </is>
      </c>
      <c r="F7" s="7" t="inlineStr">
        <is>
          <t>35°36'36,8"E</t>
        </is>
      </c>
      <c r="G7" s="7" t="inlineStr">
        <is>
          <t>32°16'20,9"N</t>
        </is>
      </c>
      <c r="H7" s="20">
        <f>IFERROR(VLOOKUP(A7,[1]PIVOT!$B$4:$E$391,3,FALSE),"")</f>
        <v/>
      </c>
      <c r="I7" s="19">
        <f>H7/6000</f>
        <v/>
      </c>
      <c r="J7" s="19">
        <f>IFERROR(VLOOKUP(A7,[2]PIVOT!$A$4:$B$388,2,FALSE),"")</f>
        <v/>
      </c>
      <c r="K7" s="19">
        <f>J7/6000</f>
        <v/>
      </c>
      <c r="L7" s="21">
        <f>H7/J7-1</f>
        <v/>
      </c>
      <c r="M7" s="21">
        <f>VLOOKUP(A7,[1]PIVOT!$B$4:$C$400,2,FALSE)</f>
        <v/>
      </c>
      <c r="N7" s="19" t="n"/>
      <c r="O7" s="20">
        <f>LEFT(F7,2)</f>
        <v/>
      </c>
      <c r="P7" s="20">
        <f>RIGHT(LEFT(F7,SEARCH("'",F7)-1),2)</f>
        <v/>
      </c>
      <c r="Q7" s="20">
        <f>LEN(F7)</f>
        <v/>
      </c>
      <c r="R7" s="20">
        <f>RIGHT(F7,Q7-SEARCH("'",F7))</f>
        <v/>
      </c>
      <c r="S7" s="20">
        <f>LEFT(R7,SEARCH("""",R7)-1)</f>
        <v/>
      </c>
      <c r="U7" s="20">
        <f>LEFT(G7,2)</f>
        <v/>
      </c>
      <c r="V7" s="20">
        <f>RIGHT(LEFT(G7,SEARCH("'",G7)-1),2)</f>
        <v/>
      </c>
      <c r="W7" s="20">
        <f>LEN(G7)</f>
        <v/>
      </c>
      <c r="X7" s="20">
        <f>RIGHT(G7,W7-SEARCH("'",G7))</f>
        <v/>
      </c>
      <c r="Y7" s="20">
        <f>LEFT(X7,SEARCH("""",X7)-1)</f>
        <v/>
      </c>
    </row>
    <row r="8" ht="16.8" customHeight="1">
      <c r="A8" s="15" t="inlineStr">
        <is>
          <t>مضخه بئركريمه/الاسكان رقم (4+5</t>
        </is>
      </c>
      <c r="B8" s="2" t="inlineStr">
        <is>
          <t>بئر سليخات (4)&amp;(5)</t>
        </is>
      </c>
      <c r="C8" s="23" t="inlineStr">
        <is>
          <t>Slechat well 4 and 5-Al Meekanat</t>
        </is>
      </c>
      <c r="D8" s="22" t="inlineStr">
        <is>
          <t>35.6023083333333</t>
        </is>
      </c>
      <c r="E8" s="22" t="inlineStr">
        <is>
          <t>32.2859722222222</t>
        </is>
      </c>
      <c r="F8" s="5" t="inlineStr">
        <is>
          <t>35°36'8,31"E</t>
        </is>
      </c>
      <c r="G8" s="5" t="inlineStr">
        <is>
          <t>32°17'9,50"N</t>
        </is>
      </c>
      <c r="H8" s="20">
        <f>IFERROR(VLOOKUP(A8,[1]PIVOT!$B$4:$E$391,3,FALSE),"")</f>
        <v/>
      </c>
      <c r="I8" s="19">
        <f>H8/6000</f>
        <v/>
      </c>
      <c r="J8" s="19">
        <f>IFERROR(VLOOKUP(A8,[2]PIVOT!$A$4:$B$388,2,FALSE),"")</f>
        <v/>
      </c>
      <c r="K8" s="19">
        <f>J8/6000</f>
        <v/>
      </c>
      <c r="L8" s="21">
        <f>H8/J8-1</f>
        <v/>
      </c>
      <c r="M8" s="21">
        <f>VLOOKUP(A8,[1]PIVOT!$B$4:$C$400,2,FALSE)</f>
        <v/>
      </c>
      <c r="N8" s="19" t="n"/>
      <c r="O8" s="20">
        <f>LEFT(F8,2)</f>
        <v/>
      </c>
      <c r="P8" s="20">
        <f>RIGHT(LEFT(F8,SEARCH("'",F8)-1),2)</f>
        <v/>
      </c>
      <c r="Q8" s="20">
        <f>LEN(F8)</f>
        <v/>
      </c>
      <c r="R8" s="20">
        <f>RIGHT(F8,Q8-SEARCH("'",F8))</f>
        <v/>
      </c>
      <c r="S8" s="20">
        <f>LEFT(R8,SEARCH("""",R8)-1)</f>
        <v/>
      </c>
      <c r="U8" s="20">
        <f>LEFT(G8,2)</f>
        <v/>
      </c>
      <c r="V8" s="20">
        <f>RIGHT(LEFT(G8,SEARCH("'",G8)-1),2)</f>
        <v/>
      </c>
      <c r="W8" s="20">
        <f>LEN(G8)</f>
        <v/>
      </c>
      <c r="X8" s="20">
        <f>RIGHT(G8,W8-SEARCH("'",G8))</f>
        <v/>
      </c>
      <c r="Y8" s="20">
        <f>LEFT(X8,SEARCH("""",X8)-1)</f>
        <v/>
      </c>
    </row>
    <row r="9" ht="16.8" customHeight="1">
      <c r="A9" s="15" t="inlineStr">
        <is>
          <t>مياه الاغوار كريمه (3)/019</t>
        </is>
      </c>
      <c r="B9" s="2" t="inlineStr">
        <is>
          <t>بئر كريمه (3)</t>
        </is>
      </c>
      <c r="C9" s="23" t="inlineStr">
        <is>
          <t>Krayymeh Well 3A</t>
        </is>
      </c>
      <c r="D9" s="22" t="inlineStr">
        <is>
          <t>35.6065111111111</t>
        </is>
      </c>
      <c r="E9" s="22" t="inlineStr">
        <is>
          <t>32.2695472222222</t>
        </is>
      </c>
      <c r="F9" s="5" t="inlineStr">
        <is>
          <t>35°36'23,44"E</t>
        </is>
      </c>
      <c r="G9" s="5" t="inlineStr">
        <is>
          <t>32°16'10,37"N</t>
        </is>
      </c>
      <c r="H9" s="20">
        <f>IFERROR(VLOOKUP(A9,[1]PIVOT!$B$4:$E$391,3,FALSE),"")</f>
        <v/>
      </c>
      <c r="I9" s="19">
        <f>H9/6000</f>
        <v/>
      </c>
      <c r="J9" s="19">
        <f>IFERROR(VLOOKUP(A9,[2]PIVOT!$A$4:$B$388,2,FALSE),"")</f>
        <v/>
      </c>
      <c r="K9" s="19">
        <f>J9/6000</f>
        <v/>
      </c>
      <c r="L9" s="21">
        <f>H9/J9-1</f>
        <v/>
      </c>
      <c r="M9" s="21">
        <f>VLOOKUP(A9,[1]PIVOT!$B$4:$C$400,2,FALSE)</f>
        <v/>
      </c>
      <c r="N9" s="19" t="n"/>
      <c r="O9" s="20">
        <f>LEFT(F9,2)</f>
        <v/>
      </c>
      <c r="P9" s="20">
        <f>RIGHT(LEFT(F9,SEARCH("'",F9)-1),2)</f>
        <v/>
      </c>
      <c r="Q9" s="20">
        <f>LEN(F9)</f>
        <v/>
      </c>
      <c r="R9" s="20">
        <f>RIGHT(F9,Q9-SEARCH("'",F9))</f>
        <v/>
      </c>
      <c r="S9" s="20">
        <f>LEFT(R9,SEARCH("""",R9)-1)</f>
        <v/>
      </c>
      <c r="U9" s="20">
        <f>LEFT(G9,2)</f>
        <v/>
      </c>
      <c r="V9" s="20">
        <f>RIGHT(LEFT(G9,SEARCH("'",G9)-1),2)</f>
        <v/>
      </c>
      <c r="W9" s="20">
        <f>LEN(G9)</f>
        <v/>
      </c>
      <c r="X9" s="20">
        <f>RIGHT(G9,W9-SEARCH("'",G9))</f>
        <v/>
      </c>
      <c r="Y9" s="20">
        <f>LEFT(X9,SEARCH("""",X9)-1)</f>
        <v/>
      </c>
    </row>
    <row r="10" ht="16.8" customHeight="1">
      <c r="A10" s="15" t="inlineStr">
        <is>
          <t>مياه الغور الشمالي/صوفره/015</t>
        </is>
      </c>
      <c r="B10" s="2" t="inlineStr">
        <is>
          <t>بئر صوفره</t>
        </is>
      </c>
      <c r="C10" s="23" t="inlineStr">
        <is>
          <t>Sofarah Well</t>
        </is>
      </c>
      <c r="D10" s="22" t="inlineStr">
        <is>
          <t>35.6019555555556</t>
        </is>
      </c>
      <c r="E10" s="22" t="inlineStr">
        <is>
          <t>32.3007527777778</t>
        </is>
      </c>
      <c r="F10" s="5" t="inlineStr">
        <is>
          <t>35°36'7,04"E</t>
        </is>
      </c>
      <c r="G10" s="5" t="inlineStr">
        <is>
          <t>32°18'2,71"N</t>
        </is>
      </c>
      <c r="H10" s="20">
        <f>IFERROR(VLOOKUP(A10,[1]PIVOT!$B$4:$E$391,3,FALSE),"")</f>
        <v/>
      </c>
      <c r="I10" s="19">
        <f>H10/6000</f>
        <v/>
      </c>
      <c r="J10" s="19">
        <f>IFERROR(VLOOKUP(A10,[2]PIVOT!$A$4:$B$388,2,FALSE),"")</f>
        <v/>
      </c>
      <c r="K10" s="19">
        <f>J10/6000</f>
        <v/>
      </c>
      <c r="L10" s="21">
        <f>H10/J10-1</f>
        <v/>
      </c>
      <c r="M10" s="21">
        <f>VLOOKUP(A10,[1]PIVOT!$B$4:$C$400,2,FALSE)</f>
        <v/>
      </c>
      <c r="N10" s="19" t="n"/>
      <c r="O10" s="20">
        <f>LEFT(F10,2)</f>
        <v/>
      </c>
      <c r="P10" s="20">
        <f>RIGHT(LEFT(F10,SEARCH("'",F10)-1),2)</f>
        <v/>
      </c>
      <c r="Q10" s="20">
        <f>LEN(F10)</f>
        <v/>
      </c>
      <c r="R10" s="20">
        <f>RIGHT(F10,Q10-SEARCH("'",F10))</f>
        <v/>
      </c>
      <c r="S10" s="20">
        <f>LEFT(R10,SEARCH("""",R10)-1)</f>
        <v/>
      </c>
      <c r="U10" s="20">
        <f>LEFT(G10,2)</f>
        <v/>
      </c>
      <c r="V10" s="20">
        <f>RIGHT(LEFT(G10,SEARCH("'",G10)-1),2)</f>
        <v/>
      </c>
      <c r="W10" s="20">
        <f>LEN(G10)</f>
        <v/>
      </c>
      <c r="X10" s="20">
        <f>RIGHT(G10,W10-SEARCH("'",G10))</f>
        <v/>
      </c>
      <c r="Y10" s="20">
        <f>LEFT(X10,SEARCH("""",X10)-1)</f>
        <v/>
      </c>
    </row>
    <row r="11" ht="16.8" customHeight="1">
      <c r="A11" s="15" t="inlineStr">
        <is>
          <t>خزان مياه معاذ/جديد</t>
        </is>
      </c>
      <c r="B11" s="2" t="inlineStr">
        <is>
          <t>خزان مياه  معاذ بن جبل</t>
        </is>
      </c>
      <c r="C11" s="23" t="inlineStr">
        <is>
          <t>Mouath new R</t>
        </is>
      </c>
      <c r="D11" s="22" t="inlineStr">
        <is>
          <t>35.6501388888889</t>
        </is>
      </c>
      <c r="E11" s="22" t="inlineStr">
        <is>
          <t>32.6054166666667</t>
        </is>
      </c>
      <c r="F11" s="7" t="inlineStr">
        <is>
          <t>35°39'00,5"E</t>
        </is>
      </c>
      <c r="G11" s="7" t="inlineStr">
        <is>
          <t>32°36'19,5"N</t>
        </is>
      </c>
      <c r="H11" s="20">
        <f>IFERROR(VLOOKUP(A11,[1]PIVOT!$B$4:$E$391,3,FALSE),"")</f>
        <v/>
      </c>
      <c r="I11" s="19">
        <f>H11/6000</f>
        <v/>
      </c>
      <c r="J11" s="19">
        <f>IFERROR(VLOOKUP(A11,[2]PIVOT!$A$4:$B$388,2,FALSE),"")</f>
        <v/>
      </c>
      <c r="K11" s="19">
        <f>J11/6000</f>
        <v/>
      </c>
      <c r="L11" s="21">
        <f>H11/J11-1</f>
        <v/>
      </c>
      <c r="M11" s="21">
        <f>VLOOKUP(A11,[1]PIVOT!$B$4:$C$400,2,FALSE)</f>
        <v/>
      </c>
      <c r="N11" s="19" t="n"/>
      <c r="O11" s="20">
        <f>LEFT(F11,2)</f>
        <v/>
      </c>
      <c r="P11" s="20">
        <f>RIGHT(LEFT(F11,SEARCH("'",F11)-1),2)</f>
        <v/>
      </c>
      <c r="Q11" s="20">
        <f>LEN(F11)</f>
        <v/>
      </c>
      <c r="R11" s="20">
        <f>RIGHT(F11,Q11-SEARCH("'",F11))</f>
        <v/>
      </c>
      <c r="S11" s="20">
        <f>LEFT(R11,SEARCH("""",R11)-1)</f>
        <v/>
      </c>
      <c r="U11" s="20">
        <f>LEFT(G11,2)</f>
        <v/>
      </c>
      <c r="V11" s="20">
        <f>RIGHT(LEFT(G11,SEARCH("'",G11)-1),2)</f>
        <v/>
      </c>
      <c r="W11" s="20">
        <f>LEN(G11)</f>
        <v/>
      </c>
      <c r="X11" s="20">
        <f>RIGHT(G11,W11-SEARCH("'",G11))</f>
        <v/>
      </c>
      <c r="Y11" s="20">
        <f>LEFT(X11,SEARCH("""",X11)-1)</f>
        <v/>
      </c>
    </row>
    <row r="12" ht="16.8" customHeight="1">
      <c r="A12" s="15" t="inlineStr">
        <is>
          <t>مياه بئر السليخات /013</t>
        </is>
      </c>
      <c r="B12" s="2" t="inlineStr">
        <is>
          <t>بئر سليخات (8)</t>
        </is>
      </c>
      <c r="C12" s="24" t="e">
        <v>#N/A</v>
      </c>
      <c r="D12" s="22" t="inlineStr">
        <is>
          <t>35.6091361111111</t>
        </is>
      </c>
      <c r="E12" s="22" t="inlineStr">
        <is>
          <t>32.3285055555556</t>
        </is>
      </c>
      <c r="F12" s="5" t="inlineStr">
        <is>
          <t>35°36'32,89"E</t>
        </is>
      </c>
      <c r="G12" s="5" t="inlineStr">
        <is>
          <t>32°19'42,62"N</t>
        </is>
      </c>
      <c r="H12" s="20">
        <f>IFERROR(VLOOKUP(A12,[1]PIVOT!$B$4:$E$391,3,FALSE),"")</f>
        <v/>
      </c>
      <c r="I12" s="19">
        <f>H12/6000</f>
        <v/>
      </c>
      <c r="J12" s="19">
        <f>IFERROR(VLOOKUP(A12,[2]PIVOT!$A$4:$B$388,2,FALSE),"")</f>
        <v/>
      </c>
      <c r="K12" s="19">
        <f>J12/6000</f>
        <v/>
      </c>
      <c r="L12" s="21">
        <f>H12/J12-1</f>
        <v/>
      </c>
      <c r="M12" s="21">
        <f>VLOOKUP(A12,[1]PIVOT!$B$4:$C$400,2,FALSE)</f>
        <v/>
      </c>
      <c r="N12" s="19" t="n"/>
      <c r="O12" s="20">
        <f>LEFT(F12,2)</f>
        <v/>
      </c>
      <c r="P12" s="20">
        <f>RIGHT(LEFT(F12,SEARCH("'",F12)-1),2)</f>
        <v/>
      </c>
      <c r="Q12" s="20">
        <f>LEN(F12)</f>
        <v/>
      </c>
      <c r="R12" s="20">
        <f>RIGHT(F12,Q12-SEARCH("'",F12))</f>
        <v/>
      </c>
      <c r="S12" s="20">
        <f>LEFT(R12,SEARCH("""",R12)-1)</f>
        <v/>
      </c>
      <c r="U12" s="20">
        <f>LEFT(G12,2)</f>
        <v/>
      </c>
      <c r="V12" s="20">
        <f>RIGHT(LEFT(G12,SEARCH("'",G12)-1),2)</f>
        <v/>
      </c>
      <c r="W12" s="20">
        <f>LEN(G12)</f>
        <v/>
      </c>
      <c r="X12" s="20">
        <f>RIGHT(G12,W12-SEARCH("'",G12))</f>
        <v/>
      </c>
      <c r="Y12" s="20">
        <f>LEFT(X12,SEARCH("""",X12)-1)</f>
        <v/>
      </c>
    </row>
    <row r="13" ht="16.8" customHeight="1">
      <c r="A13" s="15" t="inlineStr">
        <is>
          <t>مياه بوستر العدسيه/001</t>
        </is>
      </c>
      <c r="B13" s="2" t="inlineStr">
        <is>
          <t>محطة ضخ مياه بوستر العدسيه</t>
        </is>
      </c>
      <c r="C13" s="23" t="inlineStr">
        <is>
          <t>Adassyeh Booster</t>
        </is>
      </c>
      <c r="D13" s="22" t="inlineStr">
        <is>
          <t>35.6220555555556</t>
        </is>
      </c>
      <c r="E13" s="22" t="inlineStr">
        <is>
          <t>32.6616944444444</t>
        </is>
      </c>
      <c r="F13" s="7" t="inlineStr">
        <is>
          <t>35°37'19,4"E</t>
        </is>
      </c>
      <c r="G13" s="7" t="inlineStr">
        <is>
          <t>32°39'42,1"N</t>
        </is>
      </c>
      <c r="H13" s="20">
        <f>IFERROR(VLOOKUP(A13,[1]PIVOT!$B$4:$E$391,3,FALSE),"")</f>
        <v/>
      </c>
      <c r="I13" s="19">
        <f>H13/6000</f>
        <v/>
      </c>
      <c r="J13" s="19">
        <f>IFERROR(VLOOKUP(A13,[2]PIVOT!$A$4:$B$388,2,FALSE),"")</f>
        <v/>
      </c>
      <c r="K13" s="19">
        <f>J13/6000</f>
        <v/>
      </c>
      <c r="L13" s="21">
        <f>H13/J13-1</f>
        <v/>
      </c>
      <c r="M13" s="21">
        <f>VLOOKUP(A13,[1]PIVOT!$B$4:$C$400,2,FALSE)</f>
        <v/>
      </c>
      <c r="N13" s="19" t="n"/>
      <c r="O13" s="20">
        <f>LEFT(F13,2)</f>
        <v/>
      </c>
      <c r="P13" s="20">
        <f>RIGHT(LEFT(F13,SEARCH("'",F13)-1),2)</f>
        <v/>
      </c>
      <c r="Q13" s="20">
        <f>LEN(F13)</f>
        <v/>
      </c>
      <c r="R13" s="20">
        <f>RIGHT(F13,Q13-SEARCH("'",F13))</f>
        <v/>
      </c>
      <c r="S13" s="20">
        <f>LEFT(R13,SEARCH("""",R13)-1)</f>
        <v/>
      </c>
      <c r="U13" s="20">
        <f>LEFT(G13,2)</f>
        <v/>
      </c>
      <c r="V13" s="20">
        <f>RIGHT(LEFT(G13,SEARCH("'",G13)-1),2)</f>
        <v/>
      </c>
      <c r="W13" s="20">
        <f>LEN(G13)</f>
        <v/>
      </c>
      <c r="X13" s="20">
        <f>RIGHT(G13,W13-SEARCH("'",G13))</f>
        <v/>
      </c>
      <c r="Y13" s="20">
        <f>LEFT(X13,SEARCH("""",X13)-1)</f>
        <v/>
      </c>
    </row>
    <row r="14" ht="16.8" customHeight="1">
      <c r="A14" s="15" t="inlineStr">
        <is>
          <t>مياه الغور الشمالي /م ت /022</t>
        </is>
      </c>
      <c r="B14" s="2" t="inlineStr">
        <is>
          <t>خزان مياه الحمه</t>
        </is>
      </c>
      <c r="C14" s="24" t="e">
        <v>#N/A</v>
      </c>
      <c r="D14" s="22" t="inlineStr">
        <is>
          <t>35.6828888888889</t>
        </is>
      </c>
      <c r="E14" s="22" t="inlineStr">
        <is>
          <t>32.6733888888889</t>
        </is>
      </c>
      <c r="F14" s="7" t="inlineStr">
        <is>
          <t>35°40'58,4"E</t>
        </is>
      </c>
      <c r="G14" s="7" t="inlineStr">
        <is>
          <t>32°40'24,2"N</t>
        </is>
      </c>
      <c r="H14" s="20">
        <f>IFERROR(VLOOKUP(A14,[1]PIVOT!$B$4:$E$391,3,FALSE),"")</f>
        <v/>
      </c>
      <c r="I14" s="19">
        <f>H14/6000</f>
        <v/>
      </c>
      <c r="J14" s="19">
        <f>IFERROR(VLOOKUP(A14,[2]PIVOT!$A$4:$B$388,2,FALSE),"")</f>
        <v/>
      </c>
      <c r="K14" s="19">
        <f>J14/6000</f>
        <v/>
      </c>
      <c r="L14" s="21">
        <f>H14/J14-1</f>
        <v/>
      </c>
      <c r="M14" s="21">
        <f>VLOOKUP(A14,[1]PIVOT!$B$4:$C$400,2,FALSE)</f>
        <v/>
      </c>
      <c r="N14" s="19" t="n"/>
      <c r="O14" s="20">
        <f>LEFT(F14,2)</f>
        <v/>
      </c>
      <c r="P14" s="20">
        <f>RIGHT(LEFT(F14,SEARCH("'",F14)-1),2)</f>
        <v/>
      </c>
      <c r="Q14" s="20">
        <f>LEN(F14)</f>
        <v/>
      </c>
      <c r="R14" s="20">
        <f>RIGHT(F14,Q14-SEARCH("'",F14))</f>
        <v/>
      </c>
      <c r="S14" s="20">
        <f>LEFT(R14,SEARCH("""",R14)-1)</f>
        <v/>
      </c>
      <c r="U14" s="20">
        <f>LEFT(G14,2)</f>
        <v/>
      </c>
      <c r="V14" s="20">
        <f>RIGHT(LEFT(G14,SEARCH("'",G14)-1),2)</f>
        <v/>
      </c>
      <c r="W14" s="20">
        <f>LEN(G14)</f>
        <v/>
      </c>
      <c r="X14" s="20">
        <f>RIGHT(G14,W14-SEARCH("'",G14))</f>
        <v/>
      </c>
      <c r="Y14" s="20">
        <f>LEFT(X14,SEARCH("""",X14)-1)</f>
        <v/>
      </c>
    </row>
    <row r="15" ht="16.8" customHeight="1">
      <c r="A15" s="16" t="inlineStr">
        <is>
          <t>مياه طبقه فحل /008</t>
        </is>
      </c>
      <c r="B15" s="3" t="inlineStr">
        <is>
          <t>محطة ضخ مياه طبقة فحل+ ابار (1)(5)(6)(8)(10)(11)</t>
        </is>
      </c>
      <c r="C15" s="30" t="inlineStr">
        <is>
          <t>Tabagat Fahel  Well 10-3-5-1-8-6 , Tabagat Fahel Well 11</t>
        </is>
      </c>
      <c r="D15" s="22" t="inlineStr">
        <is>
          <t>35.6148055555556</t>
        </is>
      </c>
      <c r="E15" s="22" t="inlineStr">
        <is>
          <t>32.4494722222222</t>
        </is>
      </c>
      <c r="F15" s="8" t="inlineStr">
        <is>
          <t>35°36'53,3"E</t>
        </is>
      </c>
      <c r="G15" s="8" t="inlineStr">
        <is>
          <t>32°26'58,1"N</t>
        </is>
      </c>
      <c r="H15" s="20">
        <f>IFERROR(VLOOKUP(A15,[1]PIVOT!$B$4:$E$391,3,FALSE),"")</f>
        <v/>
      </c>
      <c r="I15" s="19">
        <f>H15/6000</f>
        <v/>
      </c>
      <c r="J15" s="19">
        <f>IFERROR(VLOOKUP(A15,[2]PIVOT!$A$4:$B$388,2,FALSE),"")</f>
        <v/>
      </c>
      <c r="K15" s="19">
        <f>J15/6000</f>
        <v/>
      </c>
      <c r="L15" s="21">
        <f>H15/J15-1</f>
        <v/>
      </c>
      <c r="M15" s="21">
        <f>VLOOKUP(A15,[1]PIVOT!$B$4:$C$400,2,FALSE)</f>
        <v/>
      </c>
      <c r="N15" s="19" t="n"/>
      <c r="O15" s="20">
        <f>LEFT(F15,2)</f>
        <v/>
      </c>
      <c r="P15" s="20">
        <f>RIGHT(LEFT(F15,SEARCH("'",F15)-1),2)</f>
        <v/>
      </c>
      <c r="Q15" s="20">
        <f>LEN(F15)</f>
        <v/>
      </c>
      <c r="R15" s="20">
        <f>RIGHT(F15,Q15-SEARCH("'",F15))</f>
        <v/>
      </c>
      <c r="S15" s="20">
        <f>LEFT(R15,SEARCH("""",R15)-1)</f>
        <v/>
      </c>
      <c r="U15" s="20">
        <f>LEFT(G15,2)</f>
        <v/>
      </c>
      <c r="V15" s="20">
        <f>RIGHT(LEFT(G15,SEARCH("'",G15)-1),2)</f>
        <v/>
      </c>
      <c r="W15" s="20">
        <f>LEN(G15)</f>
        <v/>
      </c>
      <c r="X15" s="20">
        <f>RIGHT(G15,W15-SEARCH("'",G15))</f>
        <v/>
      </c>
      <c r="Y15" s="20">
        <f>LEFT(X15,SEARCH("""",X15)-1)</f>
        <v/>
      </c>
    </row>
    <row r="16" ht="16.8" customHeight="1">
      <c r="A16" s="15" t="inlineStr">
        <is>
          <t>بئر طبقة فحل رقم (1)</t>
        </is>
      </c>
      <c r="B16" s="2" t="inlineStr">
        <is>
          <t>بئر  ابو ذابلة- طبقة فحل</t>
        </is>
      </c>
      <c r="C16" s="23" t="inlineStr">
        <is>
          <t>Tabagat Fahel  Well  1</t>
        </is>
      </c>
      <c r="D16" s="22" t="inlineStr">
        <is>
          <t>35.6257583333333</t>
        </is>
      </c>
      <c r="E16" s="22" t="inlineStr">
        <is>
          <t>32.4578694444444</t>
        </is>
      </c>
      <c r="F16" s="5" t="inlineStr">
        <is>
          <t>35°37'32,73"E</t>
        </is>
      </c>
      <c r="G16" s="5" t="inlineStr">
        <is>
          <t>32°27'28,33"N</t>
        </is>
      </c>
      <c r="H16" s="20">
        <f>IFERROR(VLOOKUP(A16,[1]PIVOT!$B$4:$E$391,3,FALSE),"")</f>
        <v/>
      </c>
      <c r="I16" s="19">
        <f>H16/6000</f>
        <v/>
      </c>
      <c r="J16" s="19">
        <f>IFERROR(VLOOKUP(A16,[2]PIVOT!$A$4:$B$388,2,FALSE),"")</f>
        <v/>
      </c>
      <c r="K16" s="19">
        <f>J16/6000</f>
        <v/>
      </c>
      <c r="L16" s="21">
        <f>H16/J16-1</f>
        <v/>
      </c>
      <c r="M16" s="21">
        <f>VLOOKUP(A16,[1]PIVOT!$B$4:$C$400,2,FALSE)</f>
        <v/>
      </c>
      <c r="N16" s="19" t="n"/>
      <c r="O16" s="20">
        <f>LEFT(F16,2)</f>
        <v/>
      </c>
      <c r="P16" s="20">
        <f>RIGHT(LEFT(F16,SEARCH("'",F16)-1),2)</f>
        <v/>
      </c>
      <c r="Q16" s="20">
        <f>LEN(F16)</f>
        <v/>
      </c>
      <c r="R16" s="20">
        <f>RIGHT(F16,Q16-SEARCH("'",F16))</f>
        <v/>
      </c>
      <c r="S16" s="20">
        <f>LEFT(R16,SEARCH("""",R16)-1)</f>
        <v/>
      </c>
      <c r="U16" s="20">
        <f>LEFT(G16,2)</f>
        <v/>
      </c>
      <c r="V16" s="20">
        <f>RIGHT(LEFT(G16,SEARCH("'",G16)-1),2)</f>
        <v/>
      </c>
      <c r="W16" s="20">
        <f>LEN(G16)</f>
        <v/>
      </c>
      <c r="X16" s="20">
        <f>RIGHT(G16,W16-SEARCH("'",G16))</f>
        <v/>
      </c>
      <c r="Y16" s="20">
        <f>LEFT(X16,SEARCH("""",X16)-1)</f>
        <v/>
      </c>
    </row>
    <row r="17" ht="16.8" customHeight="1">
      <c r="A17" s="15" t="inlineStr">
        <is>
          <t>خزان مياه طبقة فحل</t>
        </is>
      </c>
      <c r="B17" s="2" t="inlineStr">
        <is>
          <t>خزان مياه طبقة فحل</t>
        </is>
      </c>
      <c r="C17" s="23" t="inlineStr">
        <is>
          <t>Tabget Fahel Res.</t>
        </is>
      </c>
      <c r="D17" s="22" t="inlineStr">
        <is>
          <t>35.6148888888889</t>
        </is>
      </c>
      <c r="E17" s="22" t="inlineStr">
        <is>
          <t>32.4541666666667</t>
        </is>
      </c>
      <c r="F17" s="7" t="inlineStr">
        <is>
          <t>35°36'53,6"E</t>
        </is>
      </c>
      <c r="G17" s="7" t="inlineStr">
        <is>
          <t>32°27'15,0"N</t>
        </is>
      </c>
      <c r="H17" s="20">
        <f>IFERROR(VLOOKUP(A17,[1]PIVOT!$B$4:$E$391,3,FALSE),"")</f>
        <v/>
      </c>
      <c r="I17" s="19">
        <f>H17/6000</f>
        <v/>
      </c>
      <c r="J17" s="19">
        <f>IFERROR(VLOOKUP(A17,[2]PIVOT!$A$4:$B$388,2,FALSE),"")</f>
        <v/>
      </c>
      <c r="K17" s="19">
        <f>J17/6000</f>
        <v/>
      </c>
      <c r="L17" s="21">
        <f>H17/J17-1</f>
        <v/>
      </c>
      <c r="M17" s="21">
        <f>VLOOKUP(A17,[1]PIVOT!$B$4:$C$400,2,FALSE)</f>
        <v/>
      </c>
      <c r="N17" s="19" t="n"/>
      <c r="O17" s="20">
        <f>LEFT(F17,2)</f>
        <v/>
      </c>
      <c r="P17" s="20">
        <f>RIGHT(LEFT(F17,SEARCH("'",F17)-1),2)</f>
        <v/>
      </c>
      <c r="Q17" s="20">
        <f>LEN(F17)</f>
        <v/>
      </c>
      <c r="R17" s="20">
        <f>RIGHT(F17,Q17-SEARCH("'",F17))</f>
        <v/>
      </c>
      <c r="S17" s="20">
        <f>LEFT(R17,SEARCH("""",R17)-1)</f>
        <v/>
      </c>
      <c r="U17" s="20">
        <f>LEFT(G17,2)</f>
        <v/>
      </c>
      <c r="V17" s="20">
        <f>RIGHT(LEFT(G17,SEARCH("'",G17)-1),2)</f>
        <v/>
      </c>
      <c r="W17" s="20">
        <f>LEN(G17)</f>
        <v/>
      </c>
      <c r="X17" s="20">
        <f>RIGHT(G17,W17-SEARCH("'",G17))</f>
        <v/>
      </c>
      <c r="Y17" s="20">
        <f>LEFT(X17,SEARCH("""",X17)-1)</f>
        <v/>
      </c>
    </row>
    <row r="18" ht="16.8" customHeight="1">
      <c r="A18" s="15" t="inlineStr">
        <is>
          <t>مياه ابو هابيل اسبيره/011</t>
        </is>
      </c>
      <c r="B18" s="2" t="inlineStr">
        <is>
          <t>بئر اسبيره</t>
        </is>
      </c>
      <c r="C18" s="23" t="inlineStr">
        <is>
          <t>Spairah Well</t>
        </is>
      </c>
      <c r="D18" s="22" t="inlineStr">
        <is>
          <t>35.6168333333333</t>
        </is>
      </c>
      <c r="E18" s="22" t="inlineStr">
        <is>
          <t>32.3646444444444</t>
        </is>
      </c>
      <c r="F18" s="5" t="inlineStr">
        <is>
          <t>35°37'0,60"E</t>
        </is>
      </c>
      <c r="G18" s="5" t="inlineStr">
        <is>
          <t>32°21'52,72"N</t>
        </is>
      </c>
      <c r="H18" s="20">
        <f>IFERROR(VLOOKUP(A18,[1]PIVOT!$B$4:$E$391,3,FALSE),"")</f>
        <v/>
      </c>
      <c r="I18" s="19">
        <f>H18/6000</f>
        <v/>
      </c>
      <c r="J18" s="19">
        <f>IFERROR(VLOOKUP(A18,[2]PIVOT!$A$4:$B$388,2,FALSE),"")</f>
        <v/>
      </c>
      <c r="K18" s="19">
        <f>J18/6000</f>
        <v/>
      </c>
      <c r="L18" s="21">
        <f>H18/J18-1</f>
        <v/>
      </c>
      <c r="M18" s="21">
        <f>VLOOKUP(A18,[1]PIVOT!$B$4:$C$400,2,FALSE)</f>
        <v/>
      </c>
      <c r="N18" s="19" t="n"/>
      <c r="O18" s="20">
        <f>LEFT(F18,2)</f>
        <v/>
      </c>
      <c r="P18" s="20">
        <f>RIGHT(LEFT(F18,SEARCH("'",F18)-1),2)</f>
        <v/>
      </c>
      <c r="Q18" s="20">
        <f>LEN(F18)</f>
        <v/>
      </c>
      <c r="R18" s="20">
        <f>RIGHT(F18,Q18-SEARCH("'",F18))</f>
        <v/>
      </c>
      <c r="S18" s="20">
        <f>LEFT(R18,SEARCH("""",R18)-1)</f>
        <v/>
      </c>
      <c r="U18" s="20">
        <f>LEFT(G18,2)</f>
        <v/>
      </c>
      <c r="V18" s="20">
        <f>RIGHT(LEFT(G18,SEARCH("'",G18)-1),2)</f>
        <v/>
      </c>
      <c r="W18" s="20">
        <f>LEN(G18)</f>
        <v/>
      </c>
      <c r="X18" s="20">
        <f>RIGHT(G18,W18-SEARCH("'",G18))</f>
        <v/>
      </c>
      <c r="Y18" s="20">
        <f>LEFT(X18,SEARCH("""",X18)-1)</f>
        <v/>
      </c>
    </row>
    <row r="19" ht="16.8" customHeight="1">
      <c r="A19" s="15" t="inlineStr">
        <is>
          <t>محطة الشق البارد</t>
        </is>
      </c>
      <c r="B19" s="2" t="inlineStr">
        <is>
          <t>بئر الشق البارد (1أ)</t>
        </is>
      </c>
      <c r="C19" s="23" t="inlineStr">
        <is>
          <t>AL Mukaiba Well 1A</t>
        </is>
      </c>
      <c r="D19" s="22" t="inlineStr">
        <is>
          <t>35.69925</t>
        </is>
      </c>
      <c r="E19" s="22" t="inlineStr">
        <is>
          <t>32.7104444444444</t>
        </is>
      </c>
      <c r="F19" s="7" t="inlineStr">
        <is>
          <t>35°41'57,3"E</t>
        </is>
      </c>
      <c r="G19" s="7" t="inlineStr">
        <is>
          <t>32°42'37,6"N</t>
        </is>
      </c>
      <c r="H19" s="20">
        <f>IFERROR(VLOOKUP(A19,[1]PIVOT!$B$4:$E$391,3,FALSE),"")</f>
        <v/>
      </c>
      <c r="I19" s="19">
        <f>H19/6000</f>
        <v/>
      </c>
      <c r="J19" s="19">
        <f>IFERROR(VLOOKUP(A19,[2]PIVOT!$A$4:$B$388,2,FALSE),"")</f>
        <v/>
      </c>
      <c r="K19" s="19">
        <f>J19/6000</f>
        <v/>
      </c>
      <c r="L19" s="21">
        <f>H19/J19-1</f>
        <v/>
      </c>
      <c r="M19" s="21">
        <f>VLOOKUP(A19,[1]PIVOT!$B$4:$C$400,2,FALSE)</f>
        <v/>
      </c>
      <c r="N19" s="19" t="n"/>
      <c r="O19" s="20">
        <f>LEFT(F19,2)</f>
        <v/>
      </c>
      <c r="P19" s="20">
        <f>RIGHT(LEFT(F19,SEARCH("'",F19)-1),2)</f>
        <v/>
      </c>
      <c r="Q19" s="20">
        <f>LEN(F19)</f>
        <v/>
      </c>
      <c r="R19" s="20">
        <f>RIGHT(F19,Q19-SEARCH("'",F19))</f>
        <v/>
      </c>
      <c r="S19" s="20">
        <f>LEFT(R19,SEARCH("""",R19)-1)</f>
        <v/>
      </c>
      <c r="U19" s="20">
        <f>LEFT(G19,2)</f>
        <v/>
      </c>
      <c r="V19" s="20">
        <f>RIGHT(LEFT(G19,SEARCH("'",G19)-1),2)</f>
        <v/>
      </c>
      <c r="W19" s="20">
        <f>LEN(G19)</f>
        <v/>
      </c>
      <c r="X19" s="20">
        <f>RIGHT(G19,W19-SEARCH("'",G19))</f>
        <v/>
      </c>
      <c r="Y19" s="20">
        <f>LEFT(X19,SEARCH("""",X19)-1)</f>
        <v/>
      </c>
    </row>
    <row r="20" ht="16.8" customHeight="1">
      <c r="A20" s="15" t="inlineStr">
        <is>
          <t>محطة مياه تحلية الحمه ن 240</t>
        </is>
      </c>
      <c r="B20" s="2" t="inlineStr">
        <is>
          <t>محطة ضخ وتحلية الحمة (الشق البارد)</t>
        </is>
      </c>
      <c r="C20" s="23" t="inlineStr">
        <is>
          <t>AL Mukaiba PS</t>
        </is>
      </c>
      <c r="D20" s="22" t="inlineStr">
        <is>
          <t>35.6876944444444</t>
        </is>
      </c>
      <c r="E20" s="22" t="inlineStr">
        <is>
          <t>32.7037194444444</t>
        </is>
      </c>
      <c r="F20" s="5" t="inlineStr">
        <is>
          <t>35°41'15,70"E</t>
        </is>
      </c>
      <c r="G20" s="5" t="inlineStr">
        <is>
          <t>32°42'13,39"N</t>
        </is>
      </c>
      <c r="H20" s="20">
        <f>IFERROR(VLOOKUP(A20,[1]PIVOT!$B$4:$E$391,3,FALSE),"")</f>
        <v/>
      </c>
      <c r="I20" s="19">
        <f>H20/6000</f>
        <v/>
      </c>
      <c r="J20" s="19">
        <f>IFERROR(VLOOKUP(A20,[2]PIVOT!$A$4:$B$388,2,FALSE),"")</f>
        <v/>
      </c>
      <c r="K20" s="19">
        <f>J20/6000</f>
        <v/>
      </c>
      <c r="L20" s="21">
        <f>H20/J20-1</f>
        <v/>
      </c>
      <c r="M20" s="21">
        <f>VLOOKUP(A20,[1]PIVOT!$B$4:$C$400,2,FALSE)</f>
        <v/>
      </c>
      <c r="N20" s="19" t="n"/>
      <c r="O20" s="20">
        <f>LEFT(F20,2)</f>
        <v/>
      </c>
      <c r="P20" s="20">
        <f>RIGHT(LEFT(F20,SEARCH("'",F20)-1),2)</f>
        <v/>
      </c>
      <c r="Q20" s="20">
        <f>LEN(F20)</f>
        <v/>
      </c>
      <c r="R20" s="20">
        <f>RIGHT(F20,Q20-SEARCH("'",F20))</f>
        <v/>
      </c>
      <c r="S20" s="20">
        <f>LEFT(R20,SEARCH("""",R20)-1)</f>
        <v/>
      </c>
      <c r="U20" s="20">
        <f>LEFT(G20,2)</f>
        <v/>
      </c>
      <c r="V20" s="20">
        <f>RIGHT(LEFT(G20,SEARCH("'",G20)-1),2)</f>
        <v/>
      </c>
      <c r="W20" s="20">
        <f>LEN(G20)</f>
        <v/>
      </c>
      <c r="X20" s="20">
        <f>RIGHT(G20,W20-SEARCH("'",G20))</f>
        <v/>
      </c>
      <c r="Y20" s="20">
        <f>LEFT(X20,SEARCH("""",X20)-1)</f>
        <v/>
      </c>
    </row>
    <row r="21" ht="16.8" customHeight="1">
      <c r="A21" s="15" t="inlineStr">
        <is>
          <t>سلطةالمياه/مستودع زقلاب</t>
        </is>
      </c>
      <c r="B21" s="2" t="inlineStr">
        <is>
          <t>شركة مياه اليرموك- مستودع زقلاب</t>
        </is>
      </c>
      <c r="C21" s="23" t="inlineStr">
        <is>
          <t>North Ghor Storage</t>
        </is>
      </c>
      <c r="D21" s="22" t="inlineStr">
        <is>
          <t>35.6136111111111</t>
        </is>
      </c>
      <c r="E21" s="22" t="inlineStr">
        <is>
          <t>32.5280277777778</t>
        </is>
      </c>
      <c r="F21" s="7" t="inlineStr">
        <is>
          <t>35°36'49,0"E</t>
        </is>
      </c>
      <c r="G21" s="7" t="inlineStr">
        <is>
          <t>32°31'40,9"N</t>
        </is>
      </c>
      <c r="H21" s="20">
        <f>IFERROR(VLOOKUP(A21,[1]PIVOT!$B$4:$E$391,3,FALSE),"")</f>
        <v/>
      </c>
      <c r="I21" s="19">
        <f>H21/6000</f>
        <v/>
      </c>
      <c r="J21" s="19">
        <f>IFERROR(VLOOKUP(A21,[2]PIVOT!$A$4:$B$388,2,FALSE),"")</f>
        <v/>
      </c>
      <c r="K21" s="19">
        <f>J21/6000</f>
        <v/>
      </c>
      <c r="L21" s="21">
        <f>H21/J21-1</f>
        <v/>
      </c>
      <c r="M21" s="21">
        <f>VLOOKUP(A21,[1]PIVOT!$B$4:$C$400,2,FALSE)</f>
        <v/>
      </c>
      <c r="N21" s="19" t="n"/>
      <c r="O21" s="20">
        <f>LEFT(F21,2)</f>
        <v/>
      </c>
      <c r="P21" s="20">
        <f>RIGHT(LEFT(F21,SEARCH("'",F21)-1),2)</f>
        <v/>
      </c>
      <c r="Q21" s="20">
        <f>LEN(F21)</f>
        <v/>
      </c>
      <c r="R21" s="20">
        <f>RIGHT(F21,Q21-SEARCH("'",F21))</f>
        <v/>
      </c>
      <c r="S21" s="20">
        <f>LEFT(R21,SEARCH("""",R21)-1)</f>
        <v/>
      </c>
      <c r="U21" s="20">
        <f>LEFT(G21,2)</f>
        <v/>
      </c>
      <c r="V21" s="20">
        <f>RIGHT(LEFT(G21,SEARCH("'",G21)-1),2)</f>
        <v/>
      </c>
      <c r="W21" s="20">
        <f>LEN(G21)</f>
        <v/>
      </c>
      <c r="X21" s="20">
        <f>RIGHT(G21,W21-SEARCH("'",G21))</f>
        <v/>
      </c>
      <c r="Y21" s="20">
        <f>LEFT(X21,SEARCH("""",X21)-1)</f>
        <v/>
      </c>
    </row>
    <row r="22" ht="16.8" customHeight="1">
      <c r="A22" s="15" t="inlineStr">
        <is>
          <t>سلطة المياه /بئرالصفاوي/2</t>
        </is>
      </c>
      <c r="B22" s="2" t="inlineStr">
        <is>
          <t>محطة ضخ مياه الصفاوي</t>
        </is>
      </c>
      <c r="C22" s="24" t="e">
        <v>#N/A</v>
      </c>
      <c r="D22" s="22" t="inlineStr">
        <is>
          <t>37.1369805555556</t>
        </is>
      </c>
      <c r="E22" s="22" t="inlineStr">
        <is>
          <t>32.1973944444444</t>
        </is>
      </c>
      <c r="F22" s="5" t="inlineStr">
        <is>
          <t>37° 8'13,13"E</t>
        </is>
      </c>
      <c r="G22" s="5" t="inlineStr">
        <is>
          <t>32°11'50,62"N</t>
        </is>
      </c>
      <c r="H22" s="20">
        <f>IFERROR(VLOOKUP(A22,[1]PIVOT!$B$4:$E$391,3,FALSE),"")</f>
        <v/>
      </c>
      <c r="I22" s="19">
        <f>H22/6000</f>
        <v/>
      </c>
      <c r="J22" s="19">
        <f>IFERROR(VLOOKUP(A22,[2]PIVOT!$A$4:$B$388,2,FALSE),"")</f>
        <v/>
      </c>
      <c r="K22" s="19">
        <f>J22/6000</f>
        <v/>
      </c>
      <c r="L22" s="21">
        <f>H22/J22-1</f>
        <v/>
      </c>
      <c r="M22" s="21">
        <f>VLOOKUP(A22,[1]PIVOT!$B$4:$C$400,2,FALSE)</f>
        <v/>
      </c>
      <c r="N22" s="19" t="n"/>
      <c r="O22" s="20">
        <f>LEFT(F22,2)</f>
        <v/>
      </c>
      <c r="P22" s="20">
        <f>RIGHT(LEFT(F22,SEARCH("'",F22)-1),2)</f>
        <v/>
      </c>
      <c r="Q22" s="20">
        <f>LEN(F22)</f>
        <v/>
      </c>
      <c r="R22" s="20">
        <f>RIGHT(F22,Q22-SEARCH("'",F22))</f>
        <v/>
      </c>
      <c r="S22" s="20">
        <f>LEFT(R22,SEARCH("""",R22)-1)</f>
        <v/>
      </c>
      <c r="U22" s="20">
        <f>LEFT(G22,2)</f>
        <v/>
      </c>
      <c r="V22" s="20">
        <f>RIGHT(LEFT(G22,SEARCH("'",G22)-1),2)</f>
        <v/>
      </c>
      <c r="W22" s="20">
        <f>LEN(G22)</f>
        <v/>
      </c>
      <c r="X22" s="20">
        <f>RIGHT(G22,W22-SEARCH("'",G22))</f>
        <v/>
      </c>
      <c r="Y22" s="20">
        <f>LEFT(X22,SEARCH("""",X22)-1)</f>
        <v/>
      </c>
    </row>
    <row r="23" ht="16.8" customHeight="1">
      <c r="A23" s="15" t="inlineStr">
        <is>
          <t>مياه الرويشد /294</t>
        </is>
      </c>
      <c r="B23" s="2" t="inlineStr">
        <is>
          <t>بئر الرويشد (1أ)</t>
        </is>
      </c>
      <c r="C23" s="24" t="e">
        <v>#N/A</v>
      </c>
      <c r="D23" s="22" t="inlineStr">
        <is>
          <t>38.2740416666667</t>
        </is>
      </c>
      <c r="E23" s="22" t="inlineStr">
        <is>
          <t>32.5507194444444</t>
        </is>
      </c>
      <c r="F23" s="5" t="inlineStr">
        <is>
          <t>38°16'26,55"E</t>
        </is>
      </c>
      <c r="G23" s="5" t="inlineStr">
        <is>
          <t>32°33'2,59"N</t>
        </is>
      </c>
      <c r="H23" s="20">
        <f>IFERROR(VLOOKUP(A23,[1]PIVOT!$B$4:$E$391,3,FALSE),"")</f>
        <v/>
      </c>
      <c r="I23" s="19">
        <f>H23/6000</f>
        <v/>
      </c>
      <c r="J23" s="19">
        <f>IFERROR(VLOOKUP(A23,[2]PIVOT!$A$4:$B$388,2,FALSE),"")</f>
        <v/>
      </c>
      <c r="K23" s="19">
        <f>J23/6000</f>
        <v/>
      </c>
      <c r="L23" s="21">
        <f>H23/J23-1</f>
        <v/>
      </c>
      <c r="M23" s="21">
        <f>VLOOKUP(A23,[1]PIVOT!$B$4:$C$400,2,FALSE)</f>
        <v/>
      </c>
      <c r="N23" s="19" t="n"/>
      <c r="O23" s="20">
        <f>LEFT(F23,2)</f>
        <v/>
      </c>
      <c r="P23" s="20">
        <f>RIGHT(LEFT(F23,SEARCH("'",F23)-1),2)</f>
        <v/>
      </c>
      <c r="Q23" s="20">
        <f>LEN(F23)</f>
        <v/>
      </c>
      <c r="R23" s="20">
        <f>RIGHT(F23,Q23-SEARCH("'",F23))</f>
        <v/>
      </c>
      <c r="S23" s="20">
        <f>LEFT(R23,SEARCH("""",R23)-1)</f>
        <v/>
      </c>
      <c r="U23" s="20">
        <f>LEFT(G23,2)</f>
        <v/>
      </c>
      <c r="V23" s="20">
        <f>RIGHT(LEFT(G23,SEARCH("'",G23)-1),2)</f>
        <v/>
      </c>
      <c r="W23" s="20">
        <f>LEN(G23)</f>
        <v/>
      </c>
      <c r="X23" s="20">
        <f>RIGHT(G23,W23-SEARCH("'",G23))</f>
        <v/>
      </c>
      <c r="Y23" s="20">
        <f>LEFT(X23,SEARCH("""",X23)-1)</f>
        <v/>
      </c>
    </row>
    <row r="24" ht="16.8" customHeight="1">
      <c r="A24" s="15" t="inlineStr">
        <is>
          <t>مياه الرويشد /(2)/رقم 2/293</t>
        </is>
      </c>
      <c r="B24" s="2" t="inlineStr">
        <is>
          <t>بئر الرويشد (2أ)</t>
        </is>
      </c>
      <c r="C24" s="23" t="inlineStr">
        <is>
          <t>Rwashed Well 2 &amp; PS</t>
        </is>
      </c>
      <c r="D24" s="22" t="inlineStr">
        <is>
          <t>38.2672888888889</t>
        </is>
      </c>
      <c r="E24" s="22" t="inlineStr">
        <is>
          <t>32.5603805555556</t>
        </is>
      </c>
      <c r="F24" s="5" t="inlineStr">
        <is>
          <t>38°16'2,24"E</t>
        </is>
      </c>
      <c r="G24" s="5" t="inlineStr">
        <is>
          <t>32°33'37,37"N</t>
        </is>
      </c>
      <c r="H24" s="20">
        <f>IFERROR(VLOOKUP(A24,[1]PIVOT!$B$4:$E$391,3,FALSE),"")</f>
        <v/>
      </c>
      <c r="I24" s="19">
        <f>H24/6000</f>
        <v/>
      </c>
      <c r="J24" s="19">
        <f>IFERROR(VLOOKUP(A24,[2]PIVOT!$A$4:$B$388,2,FALSE),"")</f>
        <v/>
      </c>
      <c r="K24" s="19">
        <f>J24/6000</f>
        <v/>
      </c>
      <c r="L24" s="21">
        <f>H24/J24-1</f>
        <v/>
      </c>
      <c r="M24" s="21">
        <f>VLOOKUP(A24,[1]PIVOT!$B$4:$C$400,2,FALSE)</f>
        <v/>
      </c>
      <c r="N24" s="19" t="n"/>
      <c r="O24" s="20">
        <f>LEFT(F24,2)</f>
        <v/>
      </c>
      <c r="P24" s="20">
        <f>RIGHT(LEFT(F24,SEARCH("'",F24)-1),2)</f>
        <v/>
      </c>
      <c r="Q24" s="20">
        <f>LEN(F24)</f>
        <v/>
      </c>
      <c r="R24" s="20">
        <f>RIGHT(F24,Q24-SEARCH("'",F24))</f>
        <v/>
      </c>
      <c r="S24" s="20">
        <f>LEFT(R24,SEARCH("""",R24)-1)</f>
        <v/>
      </c>
      <c r="U24" s="20">
        <f>LEFT(G24,2)</f>
        <v/>
      </c>
      <c r="V24" s="20">
        <f>RIGHT(LEFT(G24,SEARCH("'",G24)-1),2)</f>
        <v/>
      </c>
      <c r="W24" s="20">
        <f>LEN(G24)</f>
        <v/>
      </c>
      <c r="X24" s="20">
        <f>RIGHT(G24,W24-SEARCH("'",G24))</f>
        <v/>
      </c>
      <c r="Y24" s="20">
        <f>LEFT(X24,SEARCH("""",X24)-1)</f>
        <v/>
      </c>
    </row>
    <row r="25" ht="16.8" customHeight="1">
      <c r="A25" s="15" t="inlineStr">
        <is>
          <t>مياه الرويشد/(4)/292</t>
        </is>
      </c>
      <c r="B25" s="2" t="inlineStr">
        <is>
          <t>بئر الرويشد (4)</t>
        </is>
      </c>
      <c r="C25" s="24" t="e">
        <v>#N/A</v>
      </c>
      <c r="D25" s="22" t="inlineStr">
        <is>
          <t>38.2543388888889</t>
        </is>
      </c>
      <c r="E25" s="22" t="inlineStr">
        <is>
          <t>32.5671333333333</t>
        </is>
      </c>
      <c r="F25" s="5" t="inlineStr">
        <is>
          <t>38°15'15,62"E</t>
        </is>
      </c>
      <c r="G25" s="5" t="inlineStr">
        <is>
          <t>32°34'1,68"N</t>
        </is>
      </c>
      <c r="H25" s="20">
        <f>IFERROR(VLOOKUP(A25,[1]PIVOT!$B$4:$E$391,3,FALSE),"")</f>
        <v/>
      </c>
      <c r="I25" s="19">
        <f>H25/6000</f>
        <v/>
      </c>
      <c r="J25" s="19">
        <f>IFERROR(VLOOKUP(A25,[2]PIVOT!$A$4:$B$388,2,FALSE),"")</f>
        <v/>
      </c>
      <c r="K25" s="19">
        <f>J25/6000</f>
        <v/>
      </c>
      <c r="L25" s="21">
        <f>H25/J25-1</f>
        <v/>
      </c>
      <c r="M25" s="21">
        <f>VLOOKUP(A25,[1]PIVOT!$B$4:$C$400,2,FALSE)</f>
        <v/>
      </c>
      <c r="N25" s="19" t="n"/>
      <c r="O25" s="20">
        <f>LEFT(F25,2)</f>
        <v/>
      </c>
      <c r="P25" s="20">
        <f>RIGHT(LEFT(F25,SEARCH("'",F25)-1),2)</f>
        <v/>
      </c>
      <c r="Q25" s="20">
        <f>LEN(F25)</f>
        <v/>
      </c>
      <c r="R25" s="20">
        <f>RIGHT(F25,Q25-SEARCH("'",F25))</f>
        <v/>
      </c>
      <c r="S25" s="20">
        <f>LEFT(R25,SEARCH("""",R25)-1)</f>
        <v/>
      </c>
      <c r="U25" s="20">
        <f>LEFT(G25,2)</f>
        <v/>
      </c>
      <c r="V25" s="20">
        <f>RIGHT(LEFT(G25,SEARCH("'",G25)-1),2)</f>
        <v/>
      </c>
      <c r="W25" s="20">
        <f>LEN(G25)</f>
        <v/>
      </c>
      <c r="X25" s="20">
        <f>RIGHT(G25,W25-SEARCH("'",G25))</f>
        <v/>
      </c>
      <c r="Y25" s="20">
        <f>LEFT(X25,SEARCH("""",X25)-1)</f>
        <v/>
      </c>
    </row>
    <row r="26" ht="16.8" customHeight="1">
      <c r="A26" s="15" t="inlineStr">
        <is>
          <t>مياه الرويشد/بئر 6</t>
        </is>
      </c>
      <c r="B26" s="2" t="inlineStr">
        <is>
          <t>بئر الرويشد (6)</t>
        </is>
      </c>
      <c r="C26" s="24" t="e">
        <v>#N/A</v>
      </c>
      <c r="D26" s="22" t="inlineStr">
        <is>
          <t>38.2488722222222</t>
        </is>
      </c>
      <c r="E26" s="22" t="inlineStr">
        <is>
          <t>32.5748666666667</t>
        </is>
      </c>
      <c r="F26" s="5" t="inlineStr">
        <is>
          <t>38°14'55,94"E</t>
        </is>
      </c>
      <c r="G26" s="5" t="inlineStr">
        <is>
          <t>32°34'29,52"N</t>
        </is>
      </c>
      <c r="H26" s="20">
        <f>IFERROR(VLOOKUP(A26,[1]PIVOT!$B$4:$E$391,3,FALSE),"")</f>
        <v/>
      </c>
      <c r="I26" s="19">
        <f>H26/6000</f>
        <v/>
      </c>
      <c r="J26" s="19">
        <f>IFERROR(VLOOKUP(A26,[2]PIVOT!$A$4:$B$388,2,FALSE),"")</f>
        <v/>
      </c>
      <c r="K26" s="19">
        <f>J26/6000</f>
        <v/>
      </c>
      <c r="L26" s="21">
        <f>H26/J26-1</f>
        <v/>
      </c>
      <c r="M26" s="21">
        <f>VLOOKUP(A26,[1]PIVOT!$B$4:$C$400,2,FALSE)</f>
        <v/>
      </c>
      <c r="N26" s="19" t="n"/>
      <c r="O26" s="20">
        <f>LEFT(F26,2)</f>
        <v/>
      </c>
      <c r="P26" s="20">
        <f>RIGHT(LEFT(F26,SEARCH("'",F26)-1),2)</f>
        <v/>
      </c>
      <c r="Q26" s="20">
        <f>LEN(F26)</f>
        <v/>
      </c>
      <c r="R26" s="20">
        <f>RIGHT(F26,Q26-SEARCH("'",F26))</f>
        <v/>
      </c>
      <c r="S26" s="20">
        <f>LEFT(R26,SEARCH("""",R26)-1)</f>
        <v/>
      </c>
      <c r="U26" s="20">
        <f>LEFT(G26,2)</f>
        <v/>
      </c>
      <c r="V26" s="20">
        <f>RIGHT(LEFT(G26,SEARCH("'",G26)-1),2)</f>
        <v/>
      </c>
      <c r="W26" s="20">
        <f>LEN(G26)</f>
        <v/>
      </c>
      <c r="X26" s="20">
        <f>RIGHT(G26,W26-SEARCH("'",G26))</f>
        <v/>
      </c>
      <c r="Y26" s="20">
        <f>LEFT(X26,SEARCH("""",X26)-1)</f>
        <v/>
      </c>
    </row>
    <row r="27" ht="16.8" customHeight="1">
      <c r="A27" s="15" t="inlineStr">
        <is>
          <t>مياه الرويشد\بئر7</t>
        </is>
      </c>
      <c r="B27" s="2" t="inlineStr">
        <is>
          <t>بئر الرويشد (7أ)</t>
        </is>
      </c>
      <c r="C27" s="23" t="inlineStr">
        <is>
          <t>Rwashed  PS</t>
        </is>
      </c>
      <c r="D27" s="22" t="inlineStr">
        <is>
          <t>38.2501666666667</t>
        </is>
      </c>
      <c r="E27" s="22" t="inlineStr">
        <is>
          <t>32.5624722222222</t>
        </is>
      </c>
      <c r="F27" s="7" t="inlineStr">
        <is>
          <t>38°15'00,6"E</t>
        </is>
      </c>
      <c r="G27" s="7" t="inlineStr">
        <is>
          <t>32°33'44,9"N</t>
        </is>
      </c>
      <c r="H27" s="20">
        <f>IFERROR(VLOOKUP(A27,[1]PIVOT!$B$4:$E$391,3,FALSE),"")</f>
        <v/>
      </c>
      <c r="I27" s="19">
        <f>H27/6000</f>
        <v/>
      </c>
      <c r="J27" s="19">
        <f>IFERROR(VLOOKUP(A27,[2]PIVOT!$A$4:$B$388,2,FALSE),"")</f>
        <v/>
      </c>
      <c r="K27" s="19">
        <f>J27/6000</f>
        <v/>
      </c>
      <c r="L27" s="21">
        <f>H27/J27-1</f>
        <v/>
      </c>
      <c r="M27" s="21">
        <f>VLOOKUP(A27,[1]PIVOT!$B$4:$C$400,2,FALSE)</f>
        <v/>
      </c>
      <c r="N27" s="19" t="n"/>
      <c r="O27" s="20">
        <f>LEFT(F27,2)</f>
        <v/>
      </c>
      <c r="P27" s="20">
        <f>RIGHT(LEFT(F27,SEARCH("'",F27)-1),2)</f>
        <v/>
      </c>
      <c r="Q27" s="20">
        <f>LEN(F27)</f>
        <v/>
      </c>
      <c r="R27" s="20">
        <f>RIGHT(F27,Q27-SEARCH("'",F27))</f>
        <v/>
      </c>
      <c r="S27" s="20">
        <f>LEFT(R27,SEARCH("""",R27)-1)</f>
        <v/>
      </c>
      <c r="U27" s="20">
        <f>LEFT(G27,2)</f>
        <v/>
      </c>
      <c r="V27" s="20">
        <f>RIGHT(LEFT(G27,SEARCH("'",G27)-1),2)</f>
        <v/>
      </c>
      <c r="W27" s="20">
        <f>LEN(G27)</f>
        <v/>
      </c>
      <c r="X27" s="20">
        <f>RIGHT(G27,W27-SEARCH("'",G27))</f>
        <v/>
      </c>
      <c r="Y27" s="20">
        <f>LEFT(X27,SEARCH("""",X27)-1)</f>
        <v/>
      </c>
    </row>
    <row r="28" ht="16.8" customHeight="1">
      <c r="A28" s="15" t="inlineStr">
        <is>
          <t>PS0/المنشية المحول المساعد</t>
        </is>
      </c>
      <c r="B28" s="2" t="inlineStr">
        <is>
          <t>محطة ضخ ومعالجة مياه وادي العرب 2 // PS0 اشتراك (1)</t>
        </is>
      </c>
      <c r="C28" s="24" t="e">
        <v>#N/A</v>
      </c>
      <c r="D28" s="22" t="inlineStr">
        <is>
          <t>35.6051277777778</t>
        </is>
      </c>
      <c r="E28" s="22" t="inlineStr">
        <is>
          <t>32.584475</t>
        </is>
      </c>
      <c r="F28" s="5" t="inlineStr">
        <is>
          <t>35°36'18,46"E</t>
        </is>
      </c>
      <c r="G28" s="5" t="inlineStr">
        <is>
          <t>32°35'4,11"N</t>
        </is>
      </c>
      <c r="H28" s="20">
        <f>IFERROR(VLOOKUP(A28,[1]PIVOT!$B$4:$E$391,3,FALSE),"")</f>
        <v/>
      </c>
      <c r="I28" s="19">
        <f>H28/6000</f>
        <v/>
      </c>
      <c r="J28" s="19">
        <f>IFERROR(VLOOKUP(A28,[2]PIVOT!$A$4:$B$388,2,FALSE),"")</f>
        <v/>
      </c>
      <c r="K28" s="19">
        <f>J28/6000</f>
        <v/>
      </c>
      <c r="L28" s="21">
        <f>H28/J28-1</f>
        <v/>
      </c>
      <c r="M28" s="21">
        <f>VLOOKUP(A28,[1]PIVOT!$B$4:$C$400,2,FALSE)</f>
        <v/>
      </c>
      <c r="N28" s="19" t="n"/>
      <c r="O28" s="20">
        <f>LEFT(F28,2)</f>
        <v/>
      </c>
      <c r="P28" s="20">
        <f>RIGHT(LEFT(F28,SEARCH("'",F28)-1),2)</f>
        <v/>
      </c>
      <c r="Q28" s="20">
        <f>LEN(F28)</f>
        <v/>
      </c>
      <c r="R28" s="20">
        <f>RIGHT(F28,Q28-SEARCH("'",F28))</f>
        <v/>
      </c>
      <c r="S28" s="20">
        <f>LEFT(R28,SEARCH("""",R28)-1)</f>
        <v/>
      </c>
      <c r="U28" s="20">
        <f>LEFT(G28,2)</f>
        <v/>
      </c>
      <c r="V28" s="20">
        <f>RIGHT(LEFT(G28,SEARCH("'",G28)-1),2)</f>
        <v/>
      </c>
      <c r="W28" s="20">
        <f>LEN(G28)</f>
        <v/>
      </c>
      <c r="X28" s="20">
        <f>RIGHT(G28,W28-SEARCH("'",G28))</f>
        <v/>
      </c>
      <c r="Y28" s="20">
        <f>LEFT(X28,SEARCH("""",X28)-1)</f>
        <v/>
      </c>
    </row>
    <row r="29" ht="16.8" customHeight="1">
      <c r="A29" s="15" t="inlineStr">
        <is>
          <t>PS0/المنشية المحول رقم 1</t>
        </is>
      </c>
      <c r="B29" s="2" t="inlineStr">
        <is>
          <t>محطة ضخ ومعالجة مياه وادي العرب 2 // PS0 اشتراك (2)</t>
        </is>
      </c>
      <c r="C29" s="23" t="inlineStr">
        <is>
          <t>Wadi Arab  PS0 (old &amp; New)</t>
        </is>
      </c>
      <c r="D29" s="22" t="inlineStr">
        <is>
          <t>35.6051277777778</t>
        </is>
      </c>
      <c r="E29" s="22" t="inlineStr">
        <is>
          <t>32.584475</t>
        </is>
      </c>
      <c r="F29" s="7" t="inlineStr">
        <is>
          <t>35°36'18,46"E</t>
        </is>
      </c>
      <c r="G29" s="7" t="inlineStr">
        <is>
          <t>32°35'4,11"N</t>
        </is>
      </c>
      <c r="H29" s="20">
        <f>IFERROR(VLOOKUP(A29,[1]PIVOT!$B$4:$E$391,3,FALSE),"")</f>
        <v/>
      </c>
      <c r="I29" s="19">
        <f>H29/6000</f>
        <v/>
      </c>
      <c r="J29" s="19">
        <f>IFERROR(VLOOKUP(A29,[2]PIVOT!$A$4:$B$388,2,FALSE),"")</f>
        <v/>
      </c>
      <c r="K29" s="19">
        <f>J29/6000</f>
        <v/>
      </c>
      <c r="L29" s="21">
        <f>H29/J29-1</f>
        <v/>
      </c>
      <c r="M29" s="21">
        <f>VLOOKUP(A29,[1]PIVOT!$B$4:$C$400,2,FALSE)</f>
        <v/>
      </c>
      <c r="N29" s="19" t="n"/>
      <c r="O29" s="20">
        <f>LEFT(F29,2)</f>
        <v/>
      </c>
      <c r="P29" s="20">
        <f>RIGHT(LEFT(F29,SEARCH("'",F29)-1),2)</f>
        <v/>
      </c>
      <c r="Q29" s="20">
        <f>LEN(F29)</f>
        <v/>
      </c>
      <c r="R29" s="20">
        <f>RIGHT(F29,Q29-SEARCH("'",F29))</f>
        <v/>
      </c>
      <c r="S29" s="20">
        <f>LEFT(R29,SEARCH("""",R29)-1)</f>
        <v/>
      </c>
      <c r="U29" s="20">
        <f>LEFT(G29,2)</f>
        <v/>
      </c>
      <c r="V29" s="20">
        <f>RIGHT(LEFT(G29,SEARCH("'",G29)-1),2)</f>
        <v/>
      </c>
      <c r="W29" s="20">
        <f>LEN(G29)</f>
        <v/>
      </c>
      <c r="X29" s="20">
        <f>RIGHT(G29,W29-SEARCH("'",G29))</f>
        <v/>
      </c>
      <c r="Y29" s="20">
        <f>LEFT(X29,SEARCH("""",X29)-1)</f>
        <v/>
      </c>
    </row>
    <row r="30" ht="16.8" customHeight="1">
      <c r="A30" s="15" t="inlineStr">
        <is>
          <t>PS0/المنشية المحول رقم 2</t>
        </is>
      </c>
      <c r="B30" s="2" t="inlineStr">
        <is>
          <t>محطة ضخ ومعالجة مياه وادي العرب 2 // PS0 اشتراك (3)</t>
        </is>
      </c>
      <c r="C30" s="23" t="inlineStr">
        <is>
          <t>Wadi Arab  PS0 (old &amp; New)</t>
        </is>
      </c>
      <c r="D30" s="22" t="inlineStr">
        <is>
          <t>35.6051277777778</t>
        </is>
      </c>
      <c r="E30" s="22" t="inlineStr">
        <is>
          <t>32.584475</t>
        </is>
      </c>
      <c r="F30" s="7" t="inlineStr">
        <is>
          <t>35°36'18,46"E</t>
        </is>
      </c>
      <c r="G30" s="7" t="inlineStr">
        <is>
          <t>32°35'4,11"N</t>
        </is>
      </c>
      <c r="H30" s="20">
        <f>IFERROR(VLOOKUP(A30,[1]PIVOT!$B$4:$E$391,3,FALSE),"")</f>
        <v/>
      </c>
      <c r="I30" s="19">
        <f>H30/6000</f>
        <v/>
      </c>
      <c r="J30" s="19">
        <f>IFERROR(VLOOKUP(A30,[2]PIVOT!$A$4:$B$388,2,FALSE),"")</f>
        <v/>
      </c>
      <c r="K30" s="19">
        <f>J30/6000</f>
        <v/>
      </c>
      <c r="L30" s="21">
        <f>H30/J30-1</f>
        <v/>
      </c>
      <c r="M30" s="21">
        <f>VLOOKUP(A30,[1]PIVOT!$B$4:$C$400,2,FALSE)</f>
        <v/>
      </c>
      <c r="N30" s="19" t="n"/>
      <c r="O30" s="20">
        <f>LEFT(F30,2)</f>
        <v/>
      </c>
      <c r="P30" s="20">
        <f>RIGHT(LEFT(F30,SEARCH("'",F30)-1),2)</f>
        <v/>
      </c>
      <c r="Q30" s="20">
        <f>LEN(F30)</f>
        <v/>
      </c>
      <c r="R30" s="20">
        <f>RIGHT(F30,Q30-SEARCH("'",F30))</f>
        <v/>
      </c>
      <c r="S30" s="20">
        <f>LEFT(R30,SEARCH("""",R30)-1)</f>
        <v/>
      </c>
      <c r="U30" s="20">
        <f>LEFT(G30,2)</f>
        <v/>
      </c>
      <c r="V30" s="20">
        <f>RIGHT(LEFT(G30,SEARCH("'",G30)-1),2)</f>
        <v/>
      </c>
      <c r="W30" s="20">
        <f>LEN(G30)</f>
        <v/>
      </c>
      <c r="X30" s="20">
        <f>RIGHT(G30,W30-SEARCH("'",G30))</f>
        <v/>
      </c>
      <c r="Y30" s="20">
        <f>LEFT(X30,SEARCH("""",X30)-1)</f>
        <v/>
      </c>
    </row>
    <row r="31" ht="16.8" customHeight="1">
      <c r="A31" s="15" t="inlineStr">
        <is>
          <t>PS1/طريق البترول المحول المساعد</t>
        </is>
      </c>
      <c r="B31" s="4" t="inlineStr">
        <is>
          <t xml:space="preserve">محطة ضخ مياه وادي العرب 2 // PS1 اشتراك (1) </t>
        </is>
      </c>
      <c r="C31" s="24" t="e">
        <v>#N/A</v>
      </c>
      <c r="D31" s="22" t="inlineStr">
        <is>
          <t>35.6262361111111</t>
        </is>
      </c>
      <c r="E31" s="22" t="inlineStr">
        <is>
          <t>32.5861805555556</t>
        </is>
      </c>
      <c r="F31" s="5" t="inlineStr">
        <is>
          <t>35°37'34,45"E</t>
        </is>
      </c>
      <c r="G31" s="5" t="inlineStr">
        <is>
          <t>32°35'10,25"N</t>
        </is>
      </c>
      <c r="H31" s="20">
        <f>IFERROR(VLOOKUP(A31,[1]PIVOT!$B$4:$E$391,3,FALSE),"")</f>
        <v/>
      </c>
      <c r="I31" s="19">
        <f>H31/6000</f>
        <v/>
      </c>
      <c r="J31" s="19">
        <f>IFERROR(VLOOKUP(A31,[2]PIVOT!$A$4:$B$388,2,FALSE),"")</f>
        <v/>
      </c>
      <c r="K31" s="19">
        <f>J31/6000</f>
        <v/>
      </c>
      <c r="L31" s="21">
        <f>H31/J31-1</f>
        <v/>
      </c>
      <c r="M31" s="21">
        <f>VLOOKUP(A31,[1]PIVOT!$B$4:$C$400,2,FALSE)</f>
        <v/>
      </c>
      <c r="N31" s="19" t="n"/>
      <c r="O31" s="20">
        <f>LEFT(F31,2)</f>
        <v/>
      </c>
      <c r="P31" s="20">
        <f>RIGHT(LEFT(F31,SEARCH("'",F31)-1),2)</f>
        <v/>
      </c>
      <c r="Q31" s="20">
        <f>LEN(F31)</f>
        <v/>
      </c>
      <c r="R31" s="20">
        <f>RIGHT(F31,Q31-SEARCH("'",F31))</f>
        <v/>
      </c>
      <c r="S31" s="20">
        <f>LEFT(R31,SEARCH("""",R31)-1)</f>
        <v/>
      </c>
      <c r="U31" s="20">
        <f>LEFT(G31,2)</f>
        <v/>
      </c>
      <c r="V31" s="20">
        <f>RIGHT(LEFT(G31,SEARCH("'",G31)-1),2)</f>
        <v/>
      </c>
      <c r="W31" s="20">
        <f>LEN(G31)</f>
        <v/>
      </c>
      <c r="X31" s="20">
        <f>RIGHT(G31,W31-SEARCH("'",G31))</f>
        <v/>
      </c>
      <c r="Y31" s="20">
        <f>LEFT(X31,SEARCH("""",X31)-1)</f>
        <v/>
      </c>
    </row>
    <row r="32" ht="16.8" customHeight="1">
      <c r="A32" s="15" t="inlineStr">
        <is>
          <t>PS1/طريق البترول المحول رقم 1</t>
        </is>
      </c>
      <c r="B32" s="4" t="inlineStr">
        <is>
          <t xml:space="preserve">محطة ضخ مياه وادي العرب 2 // PS1 اشتراك (2) </t>
        </is>
      </c>
      <c r="C32" s="24" t="e">
        <v>#N/A</v>
      </c>
      <c r="D32" s="22" t="inlineStr">
        <is>
          <t>35.6262361111111</t>
        </is>
      </c>
      <c r="E32" s="22" t="inlineStr">
        <is>
          <t>32.5861805555556</t>
        </is>
      </c>
      <c r="F32" s="7" t="inlineStr">
        <is>
          <t>35°37'34,45"E</t>
        </is>
      </c>
      <c r="G32" s="7" t="inlineStr">
        <is>
          <t>32°35'10,25"N</t>
        </is>
      </c>
      <c r="H32" s="20">
        <f>IFERROR(VLOOKUP(A32,[1]PIVOT!$B$4:$E$391,3,FALSE),"")</f>
        <v/>
      </c>
      <c r="I32" s="19">
        <f>H32/6000</f>
        <v/>
      </c>
      <c r="J32" s="19">
        <f>IFERROR(VLOOKUP(A32,[2]PIVOT!$A$4:$B$388,2,FALSE),"")</f>
        <v/>
      </c>
      <c r="K32" s="19">
        <f>J32/6000</f>
        <v/>
      </c>
      <c r="L32" s="21">
        <f>H32/J32-1</f>
        <v/>
      </c>
      <c r="M32" s="21">
        <f>VLOOKUP(A32,[1]PIVOT!$B$4:$C$400,2,FALSE)</f>
        <v/>
      </c>
      <c r="N32" s="19" t="n"/>
      <c r="O32" s="20">
        <f>LEFT(F32,2)</f>
        <v/>
      </c>
      <c r="P32" s="20">
        <f>RIGHT(LEFT(F32,SEARCH("'",F32)-1),2)</f>
        <v/>
      </c>
      <c r="Q32" s="20">
        <f>LEN(F32)</f>
        <v/>
      </c>
      <c r="R32" s="20">
        <f>RIGHT(F32,Q32-SEARCH("'",F32))</f>
        <v/>
      </c>
      <c r="S32" s="20">
        <f>LEFT(R32,SEARCH("""",R32)-1)</f>
        <v/>
      </c>
      <c r="U32" s="20">
        <f>LEFT(G32,2)</f>
        <v/>
      </c>
      <c r="V32" s="20">
        <f>RIGHT(LEFT(G32,SEARCH("'",G32)-1),2)</f>
        <v/>
      </c>
      <c r="W32" s="20">
        <f>LEN(G32)</f>
        <v/>
      </c>
      <c r="X32" s="20">
        <f>RIGHT(G32,W32-SEARCH("'",G32))</f>
        <v/>
      </c>
      <c r="Y32" s="20">
        <f>LEFT(X32,SEARCH("""",X32)-1)</f>
        <v/>
      </c>
    </row>
    <row r="33" ht="16.8" customHeight="1">
      <c r="A33" s="15" t="inlineStr">
        <is>
          <t>PS1/طريق البترول المحول رقم 2</t>
        </is>
      </c>
      <c r="B33" s="4" t="inlineStr">
        <is>
          <t xml:space="preserve">محطة ضخ مياه وادي العرب 2 // PS1 اشتراك (3) </t>
        </is>
      </c>
      <c r="C33" s="24" t="e">
        <v>#N/A</v>
      </c>
      <c r="D33" s="22" t="inlineStr">
        <is>
          <t>35.6262361111111</t>
        </is>
      </c>
      <c r="E33" s="22" t="inlineStr">
        <is>
          <t>32.5861805555556</t>
        </is>
      </c>
      <c r="F33" s="7" t="inlineStr">
        <is>
          <t>35°37'34,45"E</t>
        </is>
      </c>
      <c r="G33" s="7" t="inlineStr">
        <is>
          <t>32°35'10,25"N</t>
        </is>
      </c>
      <c r="H33" s="20">
        <f>IFERROR(VLOOKUP(A33,[1]PIVOT!$B$4:$E$391,3,FALSE),"")</f>
        <v/>
      </c>
      <c r="I33" s="19">
        <f>H33/6000</f>
        <v/>
      </c>
      <c r="J33" s="19">
        <f>IFERROR(VLOOKUP(A33,[2]PIVOT!$A$4:$B$388,2,FALSE),"")</f>
        <v/>
      </c>
      <c r="K33" s="19">
        <f>J33/6000</f>
        <v/>
      </c>
      <c r="L33" s="21">
        <f>H33/J33-1</f>
        <v/>
      </c>
      <c r="M33" s="21">
        <f>VLOOKUP(A33,[1]PIVOT!$B$4:$C$400,2,FALSE)</f>
        <v/>
      </c>
      <c r="N33" s="19" t="n"/>
      <c r="O33" s="20">
        <f>LEFT(F33,2)</f>
        <v/>
      </c>
      <c r="P33" s="20">
        <f>RIGHT(LEFT(F33,SEARCH("'",F33)-1),2)</f>
        <v/>
      </c>
      <c r="Q33" s="20">
        <f>LEN(F33)</f>
        <v/>
      </c>
      <c r="R33" s="20">
        <f>RIGHT(F33,Q33-SEARCH("'",F33))</f>
        <v/>
      </c>
      <c r="S33" s="20">
        <f>LEFT(R33,SEARCH("""",R33)-1)</f>
        <v/>
      </c>
      <c r="U33" s="20">
        <f>LEFT(G33,2)</f>
        <v/>
      </c>
      <c r="V33" s="20">
        <f>RIGHT(LEFT(G33,SEARCH("'",G33)-1),2)</f>
        <v/>
      </c>
      <c r="W33" s="20">
        <f>LEN(G33)</f>
        <v/>
      </c>
      <c r="X33" s="20">
        <f>RIGHT(G33,W33-SEARCH("'",G33))</f>
        <v/>
      </c>
      <c r="Y33" s="20">
        <f>LEFT(X33,SEARCH("""",X33)-1)</f>
        <v/>
      </c>
    </row>
    <row r="34" ht="16.8" customHeight="1">
      <c r="A34" s="15" t="inlineStr">
        <is>
          <t>PS2/ مخربا المحول المساعد</t>
        </is>
      </c>
      <c r="B34" s="4" t="inlineStr">
        <is>
          <t xml:space="preserve">محطة ضخ مياه وادي العرب 2 // PS2 اشتراك (1) </t>
        </is>
      </c>
      <c r="C34" s="23" t="inlineStr">
        <is>
          <t>Wadi Al Arab PS2 (New &amp; Old)</t>
        </is>
      </c>
      <c r="D34" s="22" t="inlineStr">
        <is>
          <t>35.6605444444444</t>
        </is>
      </c>
      <c r="E34" s="22" t="inlineStr">
        <is>
          <t>32.5836722222222</t>
        </is>
      </c>
      <c r="F34" s="5" t="inlineStr">
        <is>
          <t>35°39'37,96"E</t>
        </is>
      </c>
      <c r="G34" s="5" t="inlineStr">
        <is>
          <t>32°35'1,22"N</t>
        </is>
      </c>
      <c r="H34" s="20">
        <f>IFERROR(VLOOKUP(A34,[1]PIVOT!$B$4:$E$391,3,FALSE),"")</f>
        <v/>
      </c>
      <c r="I34" s="19">
        <f>H34/6000</f>
        <v/>
      </c>
      <c r="J34" s="19">
        <f>IFERROR(VLOOKUP(A34,[2]PIVOT!$A$4:$B$388,2,FALSE),"")</f>
        <v/>
      </c>
      <c r="K34" s="19">
        <f>J34/6000</f>
        <v/>
      </c>
      <c r="L34" s="21">
        <f>H34/J34-1</f>
        <v/>
      </c>
      <c r="M34" s="21">
        <f>VLOOKUP(A34,[1]PIVOT!$B$4:$C$400,2,FALSE)</f>
        <v/>
      </c>
      <c r="N34" s="19" t="n"/>
      <c r="O34" s="20">
        <f>LEFT(F34,2)</f>
        <v/>
      </c>
      <c r="P34" s="20">
        <f>RIGHT(LEFT(F34,SEARCH("'",F34)-1),2)</f>
        <v/>
      </c>
      <c r="Q34" s="20">
        <f>LEN(F34)</f>
        <v/>
      </c>
      <c r="R34" s="20">
        <f>RIGHT(F34,Q34-SEARCH("'",F34))</f>
        <v/>
      </c>
      <c r="S34" s="20">
        <f>LEFT(R34,SEARCH("""",R34)-1)</f>
        <v/>
      </c>
      <c r="U34" s="20">
        <f>LEFT(G34,2)</f>
        <v/>
      </c>
      <c r="V34" s="20">
        <f>RIGHT(LEFT(G34,SEARCH("'",G34)-1),2)</f>
        <v/>
      </c>
      <c r="W34" s="20">
        <f>LEN(G34)</f>
        <v/>
      </c>
      <c r="X34" s="20">
        <f>RIGHT(G34,W34-SEARCH("'",G34))</f>
        <v/>
      </c>
      <c r="Y34" s="20">
        <f>LEFT(X34,SEARCH("""",X34)-1)</f>
        <v/>
      </c>
    </row>
    <row r="35" ht="16.8" customHeight="1">
      <c r="A35" s="15" t="inlineStr">
        <is>
          <t>PS2/ مخربا المحول رقم 1</t>
        </is>
      </c>
      <c r="B35" s="4" t="inlineStr">
        <is>
          <t xml:space="preserve">محطة ضخ مياه وادي العرب 2 // PS2 اشتراك (2) </t>
        </is>
      </c>
      <c r="C35" s="23" t="inlineStr">
        <is>
          <t>Wadi Al Arab PS2 (New &amp; Old)</t>
        </is>
      </c>
      <c r="D35" s="22" t="inlineStr">
        <is>
          <t>35.6605444444444</t>
        </is>
      </c>
      <c r="E35" s="22" t="inlineStr">
        <is>
          <t>32.5836722222222</t>
        </is>
      </c>
      <c r="F35" s="7" t="inlineStr">
        <is>
          <t>35°39'37,96"E</t>
        </is>
      </c>
      <c r="G35" s="7" t="inlineStr">
        <is>
          <t>32°35'1,22"N</t>
        </is>
      </c>
      <c r="H35" s="20">
        <f>IFERROR(VLOOKUP(A35,[1]PIVOT!$B$4:$E$391,3,FALSE),"")</f>
        <v/>
      </c>
      <c r="I35" s="19">
        <f>H35/6000</f>
        <v/>
      </c>
      <c r="J35" s="19">
        <f>IFERROR(VLOOKUP(A35,[2]PIVOT!$A$4:$B$388,2,FALSE),"")</f>
        <v/>
      </c>
      <c r="K35" s="19">
        <f>J35/6000</f>
        <v/>
      </c>
      <c r="L35" s="21">
        <f>H35/J35-1</f>
        <v/>
      </c>
      <c r="M35" s="21">
        <f>VLOOKUP(A35,[1]PIVOT!$B$4:$C$400,2,FALSE)</f>
        <v/>
      </c>
      <c r="N35" s="19" t="n"/>
      <c r="O35" s="20">
        <f>LEFT(F35,2)</f>
        <v/>
      </c>
      <c r="P35" s="20">
        <f>RIGHT(LEFT(F35,SEARCH("'",F35)-1),2)</f>
        <v/>
      </c>
      <c r="Q35" s="20">
        <f>LEN(F35)</f>
        <v/>
      </c>
      <c r="R35" s="20">
        <f>RIGHT(F35,Q35-SEARCH("'",F35))</f>
        <v/>
      </c>
      <c r="S35" s="20">
        <f>LEFT(R35,SEARCH("""",R35)-1)</f>
        <v/>
      </c>
      <c r="U35" s="20">
        <f>LEFT(G35,2)</f>
        <v/>
      </c>
      <c r="V35" s="20">
        <f>RIGHT(LEFT(G35,SEARCH("'",G35)-1),2)</f>
        <v/>
      </c>
      <c r="W35" s="20">
        <f>LEN(G35)</f>
        <v/>
      </c>
      <c r="X35" s="20">
        <f>RIGHT(G35,W35-SEARCH("'",G35))</f>
        <v/>
      </c>
      <c r="Y35" s="20">
        <f>LEFT(X35,SEARCH("""",X35)-1)</f>
        <v/>
      </c>
    </row>
    <row r="36" ht="16.8" customHeight="1">
      <c r="A36" s="15" t="inlineStr">
        <is>
          <t>PS2/ مخربا المحول رقم 2</t>
        </is>
      </c>
      <c r="B36" s="4" t="inlineStr">
        <is>
          <t xml:space="preserve">محطة ضخ مياه وادي العرب 2 // PS2 اشتراك (3) </t>
        </is>
      </c>
      <c r="C36" s="23" t="inlineStr">
        <is>
          <t>Wadi Al Arab PS2 (New &amp; Old)</t>
        </is>
      </c>
      <c r="D36" s="22" t="inlineStr">
        <is>
          <t>35.6605444444444</t>
        </is>
      </c>
      <c r="E36" s="22" t="inlineStr">
        <is>
          <t>32.5836722222222</t>
        </is>
      </c>
      <c r="F36" s="7" t="inlineStr">
        <is>
          <t>35°39'37,96"E</t>
        </is>
      </c>
      <c r="G36" s="7" t="inlineStr">
        <is>
          <t>32°35'1,22"N</t>
        </is>
      </c>
      <c r="H36" s="20">
        <f>IFERROR(VLOOKUP(A36,[1]PIVOT!$B$4:$E$391,3,FALSE),"")</f>
        <v/>
      </c>
      <c r="I36" s="19">
        <f>H36/6000</f>
        <v/>
      </c>
      <c r="J36" s="19">
        <f>IFERROR(VLOOKUP(A36,[2]PIVOT!$A$4:$B$388,2,FALSE),"")</f>
        <v/>
      </c>
      <c r="K36" s="19">
        <f>J36/6000</f>
        <v/>
      </c>
      <c r="L36" s="21">
        <f>H36/J36-1</f>
        <v/>
      </c>
      <c r="M36" s="21">
        <f>VLOOKUP(A36,[1]PIVOT!$B$4:$C$400,2,FALSE)</f>
        <v/>
      </c>
      <c r="N36" s="19" t="n"/>
      <c r="O36" s="20">
        <f>LEFT(F36,2)</f>
        <v/>
      </c>
      <c r="P36" s="20">
        <f>RIGHT(LEFT(F36,SEARCH("'",F36)-1),2)</f>
        <v/>
      </c>
      <c r="Q36" s="20">
        <f>LEN(F36)</f>
        <v/>
      </c>
      <c r="R36" s="20">
        <f>RIGHT(F36,Q36-SEARCH("'",F36))</f>
        <v/>
      </c>
      <c r="S36" s="20">
        <f>LEFT(R36,SEARCH("""",R36)-1)</f>
        <v/>
      </c>
      <c r="U36" s="20">
        <f>LEFT(G36,2)</f>
        <v/>
      </c>
      <c r="V36" s="20">
        <f>RIGHT(LEFT(G36,SEARCH("'",G36)-1),2)</f>
        <v/>
      </c>
      <c r="W36" s="20">
        <f>LEN(G36)</f>
        <v/>
      </c>
      <c r="X36" s="20">
        <f>RIGHT(G36,W36-SEARCH("'",G36))</f>
        <v/>
      </c>
      <c r="Y36" s="20">
        <f>LEFT(X36,SEARCH("""",X36)-1)</f>
        <v/>
      </c>
    </row>
    <row r="37" ht="16.8" customHeight="1">
      <c r="A37" s="15" t="inlineStr">
        <is>
          <t>PS3/دير السعنة المحول المساعد</t>
        </is>
      </c>
      <c r="B37" s="4" t="inlineStr">
        <is>
          <t xml:space="preserve">محطة ضخ مياه وادي العرب 2 // PS3 اشتراك (1) </t>
        </is>
      </c>
      <c r="C37" s="23" t="inlineStr">
        <is>
          <t>Wadi Al Arab PS 3 (New &amp; Old)</t>
        </is>
      </c>
      <c r="D37" s="22" t="inlineStr">
        <is>
          <t>35.7416833333333</t>
        </is>
      </c>
      <c r="E37" s="22" t="inlineStr">
        <is>
          <t>32.5350638888889</t>
        </is>
      </c>
      <c r="F37" s="5" t="inlineStr">
        <is>
          <t>35°44'30,06"E</t>
        </is>
      </c>
      <c r="G37" s="5" t="inlineStr">
        <is>
          <t>32°32'6,23"N</t>
        </is>
      </c>
      <c r="H37" s="20">
        <f>IFERROR(VLOOKUP(A37,[1]PIVOT!$B$4:$E$391,3,FALSE),"")</f>
        <v/>
      </c>
      <c r="I37" s="19">
        <f>H37/6000</f>
        <v/>
      </c>
      <c r="J37" s="19">
        <f>IFERROR(VLOOKUP(A37,[2]PIVOT!$A$4:$B$388,2,FALSE),"")</f>
        <v/>
      </c>
      <c r="K37" s="19">
        <f>J37/6000</f>
        <v/>
      </c>
      <c r="L37" s="21">
        <f>H37/J37-1</f>
        <v/>
      </c>
      <c r="M37" s="21">
        <f>VLOOKUP(A37,[1]PIVOT!$B$4:$C$400,2,FALSE)</f>
        <v/>
      </c>
      <c r="N37" s="19" t="n"/>
      <c r="O37" s="20">
        <f>LEFT(F37,2)</f>
        <v/>
      </c>
      <c r="P37" s="20">
        <f>RIGHT(LEFT(F37,SEARCH("'",F37)-1),2)</f>
        <v/>
      </c>
      <c r="Q37" s="20">
        <f>LEN(F37)</f>
        <v/>
      </c>
      <c r="R37" s="20">
        <f>RIGHT(F37,Q37-SEARCH("'",F37))</f>
        <v/>
      </c>
      <c r="S37" s="20">
        <f>LEFT(R37,SEARCH("""",R37)-1)</f>
        <v/>
      </c>
      <c r="U37" s="20">
        <f>LEFT(G37,2)</f>
        <v/>
      </c>
      <c r="V37" s="20">
        <f>RIGHT(LEFT(G37,SEARCH("'",G37)-1),2)</f>
        <v/>
      </c>
      <c r="W37" s="20">
        <f>LEN(G37)</f>
        <v/>
      </c>
      <c r="X37" s="20">
        <f>RIGHT(G37,W37-SEARCH("'",G37))</f>
        <v/>
      </c>
      <c r="Y37" s="20">
        <f>LEFT(X37,SEARCH("""",X37)-1)</f>
        <v/>
      </c>
    </row>
    <row r="38" ht="16.8" customHeight="1">
      <c r="A38" s="15" t="inlineStr">
        <is>
          <t>PS3/دير السعنة المحول رقم 1</t>
        </is>
      </c>
      <c r="B38" s="4" t="inlineStr">
        <is>
          <t xml:space="preserve">محطة ضخ مياه وادي العرب 2 // PS3 اشتراك (2) </t>
        </is>
      </c>
      <c r="C38" s="23" t="inlineStr">
        <is>
          <t>Wadi Al Arab PS 3 (New &amp; Old)</t>
        </is>
      </c>
      <c r="D38" s="22" t="inlineStr">
        <is>
          <t>35.7416833333333</t>
        </is>
      </c>
      <c r="E38" s="22" t="inlineStr">
        <is>
          <t>32.5350638888889</t>
        </is>
      </c>
      <c r="F38" s="7" t="inlineStr">
        <is>
          <t>35°44'30,06"E</t>
        </is>
      </c>
      <c r="G38" s="7" t="inlineStr">
        <is>
          <t>32°32'6,23"N</t>
        </is>
      </c>
      <c r="H38" s="20">
        <f>IFERROR(VLOOKUP(A38,[1]PIVOT!$B$4:$E$391,3,FALSE),"")</f>
        <v/>
      </c>
      <c r="I38" s="19">
        <f>H38/6000</f>
        <v/>
      </c>
      <c r="J38" s="19">
        <f>IFERROR(VLOOKUP(A38,[2]PIVOT!$A$4:$B$388,2,FALSE),"")</f>
        <v/>
      </c>
      <c r="K38" s="19">
        <f>J38/6000</f>
        <v/>
      </c>
      <c r="L38" s="21">
        <f>H38/J38-1</f>
        <v/>
      </c>
      <c r="M38" s="21">
        <f>VLOOKUP(A38,[1]PIVOT!$B$4:$C$400,2,FALSE)</f>
        <v/>
      </c>
      <c r="N38" s="19" t="n"/>
      <c r="O38" s="20">
        <f>LEFT(F38,2)</f>
        <v/>
      </c>
      <c r="P38" s="20">
        <f>RIGHT(LEFT(F38,SEARCH("'",F38)-1),2)</f>
        <v/>
      </c>
      <c r="Q38" s="20">
        <f>LEN(F38)</f>
        <v/>
      </c>
      <c r="R38" s="20">
        <f>RIGHT(F38,Q38-SEARCH("'",F38))</f>
        <v/>
      </c>
      <c r="S38" s="20">
        <f>LEFT(R38,SEARCH("""",R38)-1)</f>
        <v/>
      </c>
      <c r="U38" s="20">
        <f>LEFT(G38,2)</f>
        <v/>
      </c>
      <c r="V38" s="20">
        <f>RIGHT(LEFT(G38,SEARCH("'",G38)-1),2)</f>
        <v/>
      </c>
      <c r="W38" s="20">
        <f>LEN(G38)</f>
        <v/>
      </c>
      <c r="X38" s="20">
        <f>RIGHT(G38,W38-SEARCH("'",G38))</f>
        <v/>
      </c>
      <c r="Y38" s="20">
        <f>LEFT(X38,SEARCH("""",X38)-1)</f>
        <v/>
      </c>
    </row>
    <row r="39" ht="16.8" customHeight="1">
      <c r="A39" s="15" t="inlineStr">
        <is>
          <t>PS3/دير السعنة المحول رقم 2</t>
        </is>
      </c>
      <c r="B39" s="4" t="inlineStr">
        <is>
          <t xml:space="preserve">محطة ضخ مياه وادي العرب 2 // PS3 اشتراك (3) </t>
        </is>
      </c>
      <c r="C39" s="23" t="inlineStr">
        <is>
          <t>Wadi Al Arab PS 3 (New &amp; Old)</t>
        </is>
      </c>
      <c r="D39" s="22" t="inlineStr">
        <is>
          <t>35.7416833333333</t>
        </is>
      </c>
      <c r="E39" s="22" t="inlineStr">
        <is>
          <t>32.5350638888889</t>
        </is>
      </c>
      <c r="F39" s="7" t="inlineStr">
        <is>
          <t>35°44'30,06"E</t>
        </is>
      </c>
      <c r="G39" s="7" t="inlineStr">
        <is>
          <t>32°32'6,23"N</t>
        </is>
      </c>
      <c r="H39" s="20">
        <f>IFERROR(VLOOKUP(A39,[1]PIVOT!$B$4:$E$391,3,FALSE),"")</f>
        <v/>
      </c>
      <c r="I39" s="19">
        <f>H39/6000</f>
        <v/>
      </c>
      <c r="J39" s="19">
        <f>IFERROR(VLOOKUP(A39,[2]PIVOT!$A$4:$B$388,2,FALSE),"")</f>
        <v/>
      </c>
      <c r="K39" s="19">
        <f>J39/6000</f>
        <v/>
      </c>
      <c r="L39" s="21">
        <f>H39/J39-1</f>
        <v/>
      </c>
      <c r="M39" s="21">
        <f>VLOOKUP(A39,[1]PIVOT!$B$4:$C$400,2,FALSE)</f>
        <v/>
      </c>
      <c r="N39" s="19" t="n"/>
      <c r="O39" s="20">
        <f>LEFT(F39,2)</f>
        <v/>
      </c>
      <c r="P39" s="20">
        <f>RIGHT(LEFT(F39,SEARCH("'",F39)-1),2)</f>
        <v/>
      </c>
      <c r="Q39" s="20">
        <f>LEN(F39)</f>
        <v/>
      </c>
      <c r="R39" s="20">
        <f>RIGHT(F39,Q39-SEARCH("'",F39))</f>
        <v/>
      </c>
      <c r="S39" s="20">
        <f>LEFT(R39,SEARCH("""",R39)-1)</f>
        <v/>
      </c>
      <c r="U39" s="20">
        <f>LEFT(G39,2)</f>
        <v/>
      </c>
      <c r="V39" s="20">
        <f>RIGHT(LEFT(G39,SEARCH("'",G39)-1),2)</f>
        <v/>
      </c>
      <c r="W39" s="20">
        <f>LEN(G39)</f>
        <v/>
      </c>
      <c r="X39" s="20">
        <f>RIGHT(G39,W39-SEARCH("'",G39))</f>
        <v/>
      </c>
      <c r="Y39" s="20">
        <f>LEFT(X39,SEARCH("""",X39)-1)</f>
        <v/>
      </c>
    </row>
    <row r="40" ht="16.8" customHeight="1">
      <c r="A40" s="15" t="inlineStr">
        <is>
          <t>INTAKE / المأخذ المحول رقم 2</t>
        </is>
      </c>
      <c r="B40" s="4" t="inlineStr">
        <is>
          <t>محطة ضخ مياه وادي العرب 2 // INTAKE اشتراك (1)</t>
        </is>
      </c>
      <c r="C40" s="24" t="e">
        <v>#N/A</v>
      </c>
      <c r="D40" s="22" t="inlineStr">
        <is>
          <t>35.6028333333333</t>
        </is>
      </c>
      <c r="E40" s="22" t="inlineStr">
        <is>
          <t>32.5820111111111</t>
        </is>
      </c>
      <c r="F40" s="5" t="inlineStr">
        <is>
          <t>35°36'10,20"E</t>
        </is>
      </c>
      <c r="G40" s="5" t="inlineStr">
        <is>
          <t>32°34'55,24"N</t>
        </is>
      </c>
      <c r="H40" s="20">
        <f>IFERROR(VLOOKUP(A40,[1]PIVOT!$B$4:$E$391,3,FALSE),"")</f>
        <v/>
      </c>
      <c r="I40" s="19">
        <f>H40/6000</f>
        <v/>
      </c>
      <c r="J40" s="19">
        <f>IFERROR(VLOOKUP(A40,[2]PIVOT!$A$4:$B$388,2,FALSE),"")</f>
        <v/>
      </c>
      <c r="K40" s="19">
        <f>J40/6000</f>
        <v/>
      </c>
      <c r="L40" s="21">
        <f>H40/J40-1</f>
        <v/>
      </c>
      <c r="M40" s="21">
        <f>VLOOKUP(A40,[1]PIVOT!$B$4:$C$400,2,FALSE)</f>
        <v/>
      </c>
      <c r="N40" s="19" t="n"/>
      <c r="O40" s="20">
        <f>LEFT(F40,2)</f>
        <v/>
      </c>
      <c r="P40" s="20">
        <f>RIGHT(LEFT(F40,SEARCH("'",F40)-1),2)</f>
        <v/>
      </c>
      <c r="Q40" s="20">
        <f>LEN(F40)</f>
        <v/>
      </c>
      <c r="R40" s="20">
        <f>RIGHT(F40,Q40-SEARCH("'",F40))</f>
        <v/>
      </c>
      <c r="S40" s="20">
        <f>LEFT(R40,SEARCH("""",R40)-1)</f>
        <v/>
      </c>
      <c r="U40" s="20">
        <f>LEFT(G40,2)</f>
        <v/>
      </c>
      <c r="V40" s="20">
        <f>RIGHT(LEFT(G40,SEARCH("'",G40)-1),2)</f>
        <v/>
      </c>
      <c r="W40" s="20">
        <f>LEN(G40)</f>
        <v/>
      </c>
      <c r="X40" s="20">
        <f>RIGHT(G40,W40-SEARCH("'",G40))</f>
        <v/>
      </c>
      <c r="Y40" s="20">
        <f>LEFT(X40,SEARCH("""",X40)-1)</f>
        <v/>
      </c>
    </row>
    <row r="41" ht="16.8" customHeight="1">
      <c r="A41" s="15" t="inlineStr">
        <is>
          <t>INTAKE / المأخذ المحول رقم 1</t>
        </is>
      </c>
      <c r="B41" s="4" t="inlineStr">
        <is>
          <t>محطة ضخ مياه وادي العرب 2 // INTAKE اشتراك (2)</t>
        </is>
      </c>
      <c r="C41" s="24" t="e">
        <v>#N/A</v>
      </c>
      <c r="D41" s="22" t="inlineStr">
        <is>
          <t>35.6028333333333</t>
        </is>
      </c>
      <c r="E41" s="22" t="inlineStr">
        <is>
          <t>32.5820111111111</t>
        </is>
      </c>
      <c r="F41" s="7" t="inlineStr">
        <is>
          <t>35°36'10,20"E</t>
        </is>
      </c>
      <c r="G41" s="7" t="inlineStr">
        <is>
          <t>32°34'55,24"N</t>
        </is>
      </c>
      <c r="H41" s="20">
        <f>IFERROR(VLOOKUP(A41,[1]PIVOT!$B$4:$E$391,3,FALSE),"")</f>
        <v/>
      </c>
      <c r="I41" s="19">
        <f>H41/6000</f>
        <v/>
      </c>
      <c r="J41" s="19">
        <f>IFERROR(VLOOKUP(A41,[2]PIVOT!$A$4:$B$388,2,FALSE),"")</f>
        <v/>
      </c>
      <c r="K41" s="19">
        <f>J41/6000</f>
        <v/>
      </c>
      <c r="L41" s="21">
        <f>H41/J41-1</f>
        <v/>
      </c>
      <c r="M41" s="21">
        <f>VLOOKUP(A41,[1]PIVOT!$B$4:$C$400,2,FALSE)</f>
        <v/>
      </c>
      <c r="N41" s="19" t="n"/>
      <c r="O41" s="20">
        <f>LEFT(F41,2)</f>
        <v/>
      </c>
      <c r="P41" s="20">
        <f>RIGHT(LEFT(F41,SEARCH("'",F41)-1),2)</f>
        <v/>
      </c>
      <c r="Q41" s="20">
        <f>LEN(F41)</f>
        <v/>
      </c>
      <c r="R41" s="20">
        <f>RIGHT(F41,Q41-SEARCH("'",F41))</f>
        <v/>
      </c>
      <c r="S41" s="20">
        <f>LEFT(R41,SEARCH("""",R41)-1)</f>
        <v/>
      </c>
      <c r="U41" s="20">
        <f>LEFT(G41,2)</f>
        <v/>
      </c>
      <c r="V41" s="20">
        <f>RIGHT(LEFT(G41,SEARCH("'",G41)-1),2)</f>
        <v/>
      </c>
      <c r="W41" s="20">
        <f>LEN(G41)</f>
        <v/>
      </c>
      <c r="X41" s="20">
        <f>RIGHT(G41,W41-SEARCH("'",G41))</f>
        <v/>
      </c>
      <c r="Y41" s="20">
        <f>LEFT(X41,SEARCH("""",X41)-1)</f>
        <v/>
      </c>
    </row>
    <row r="42" ht="16.8" customHeight="1">
      <c r="A42" s="15" t="inlineStr">
        <is>
          <t>شركة مياه اليرموك-ضخ المنشية</t>
        </is>
      </c>
      <c r="B42" s="2" t="inlineStr">
        <is>
          <t>محطة ضخ مياه وادي العرب 1 // PS0 // المنشية</t>
        </is>
      </c>
      <c r="C42" s="23" t="inlineStr">
        <is>
          <t>Wadi Arab  PS0 (old &amp; New)</t>
        </is>
      </c>
      <c r="D42" s="22" t="inlineStr">
        <is>
          <t>35.6049833333333</t>
        </is>
      </c>
      <c r="E42" s="22" t="inlineStr">
        <is>
          <t>32.5853166666667</t>
        </is>
      </c>
      <c r="F42" s="5" t="inlineStr">
        <is>
          <t>35°36'17,94"E</t>
        </is>
      </c>
      <c r="G42" s="5" t="inlineStr">
        <is>
          <t>32°35'7,14"N</t>
        </is>
      </c>
      <c r="H42" s="20">
        <f>IFERROR(VLOOKUP(A42,[1]PIVOT!$B$4:$E$391,3,FALSE),"")</f>
        <v/>
      </c>
      <c r="I42" s="19">
        <f>H42/6000</f>
        <v/>
      </c>
      <c r="J42" s="19">
        <f>IFERROR(VLOOKUP(A42,[2]PIVOT!$A$4:$B$388,2,FALSE),"")</f>
        <v/>
      </c>
      <c r="K42" s="19">
        <f>J42/6000</f>
        <v/>
      </c>
      <c r="L42" s="21">
        <f>H42/J42-1</f>
        <v/>
      </c>
      <c r="M42" s="21">
        <f>VLOOKUP(A42,[1]PIVOT!$B$4:$C$400,2,FALSE)</f>
        <v/>
      </c>
      <c r="N42" s="19" t="n"/>
      <c r="O42" s="20">
        <f>LEFT(F42,2)</f>
        <v/>
      </c>
      <c r="P42" s="20">
        <f>RIGHT(LEFT(F42,SEARCH("'",F42)-1),2)</f>
        <v/>
      </c>
      <c r="Q42" s="20">
        <f>LEN(F42)</f>
        <v/>
      </c>
      <c r="R42" s="20">
        <f>RIGHT(F42,Q42-SEARCH("'",F42))</f>
        <v/>
      </c>
      <c r="S42" s="20">
        <f>LEFT(R42,SEARCH("""",R42)-1)</f>
        <v/>
      </c>
      <c r="U42" s="20">
        <f>LEFT(G42,2)</f>
        <v/>
      </c>
      <c r="V42" s="20">
        <f>RIGHT(LEFT(G42,SEARCH("'",G42)-1),2)</f>
        <v/>
      </c>
      <c r="W42" s="20">
        <f>LEN(G42)</f>
        <v/>
      </c>
      <c r="X42" s="20">
        <f>RIGHT(G42,W42-SEARCH("'",G42))</f>
        <v/>
      </c>
      <c r="Y42" s="20">
        <f>LEFT(X42,SEARCH("""",X42)-1)</f>
        <v/>
      </c>
    </row>
    <row r="43" ht="16.8" customHeight="1">
      <c r="A43" s="15" t="inlineStr">
        <is>
          <t>شركة مياه اليرموك -وقاص-دير السعنه1</t>
        </is>
      </c>
      <c r="B43" s="2" t="inlineStr">
        <is>
          <t>محطة ضخ مياه وادي العرب 1 // PS3 // دير السعنه</t>
        </is>
      </c>
      <c r="C43" s="23" t="inlineStr">
        <is>
          <t>Wadi Al Arab PS 3 (New &amp; Old)</t>
        </is>
      </c>
      <c r="D43" s="22" t="inlineStr">
        <is>
          <t>35.7416055555556</t>
        </is>
      </c>
      <c r="E43" s="22" t="inlineStr">
        <is>
          <t>32.5342777777778</t>
        </is>
      </c>
      <c r="F43" s="5" t="inlineStr">
        <is>
          <t>35°44'29,78"E</t>
        </is>
      </c>
      <c r="G43" s="5" t="inlineStr">
        <is>
          <t>32°32'3,40"N</t>
        </is>
      </c>
      <c r="H43" s="20">
        <f>IFERROR(VLOOKUP(A43,[1]PIVOT!$B$4:$E$391,3,FALSE),"")</f>
        <v/>
      </c>
      <c r="I43" s="19">
        <f>H43/6000</f>
        <v/>
      </c>
      <c r="J43" s="19">
        <f>IFERROR(VLOOKUP(A43,[2]PIVOT!$A$4:$B$388,2,FALSE),"")</f>
        <v/>
      </c>
      <c r="K43" s="19">
        <f>J43/6000</f>
        <v/>
      </c>
      <c r="L43" s="21">
        <f>H43/J43-1</f>
        <v/>
      </c>
      <c r="M43" s="21">
        <f>VLOOKUP(A43,[1]PIVOT!$B$4:$C$400,2,FALSE)</f>
        <v/>
      </c>
      <c r="N43" s="19" t="n"/>
      <c r="O43" s="20">
        <f>LEFT(F43,2)</f>
        <v/>
      </c>
      <c r="P43" s="20">
        <f>RIGHT(LEFT(F43,SEARCH("'",F43)-1),2)</f>
        <v/>
      </c>
      <c r="Q43" s="20">
        <f>LEN(F43)</f>
        <v/>
      </c>
      <c r="R43" s="20">
        <f>RIGHT(F43,Q43-SEARCH("'",F43))</f>
        <v/>
      </c>
      <c r="S43" s="20">
        <f>LEFT(R43,SEARCH("""",R43)-1)</f>
        <v/>
      </c>
      <c r="U43" s="20">
        <f>LEFT(G43,2)</f>
        <v/>
      </c>
      <c r="V43" s="20">
        <f>RIGHT(LEFT(G43,SEARCH("'",G43)-1),2)</f>
        <v/>
      </c>
      <c r="W43" s="20">
        <f>LEN(G43)</f>
        <v/>
      </c>
      <c r="X43" s="20">
        <f>RIGHT(G43,W43-SEARCH("'",G43))</f>
        <v/>
      </c>
      <c r="Y43" s="20">
        <f>LEFT(X43,SEARCH("""",X43)-1)</f>
        <v/>
      </c>
    </row>
    <row r="44" ht="16.8" customHeight="1">
      <c r="A44" s="15" t="inlineStr">
        <is>
          <t>شركة مياه اليرموك -وقاص-وادي العرب</t>
        </is>
      </c>
      <c r="B44" s="2" t="inlineStr">
        <is>
          <t>شركة مياه اليرموك- وادي العرب (1) // عداد وقاص</t>
        </is>
      </c>
      <c r="C44" s="24" t="e">
        <v>#N/A</v>
      </c>
      <c r="F44" s="5" t="n"/>
      <c r="G44" s="5" t="n"/>
      <c r="H44" s="20">
        <f>IFERROR(VLOOKUP(A44,[1]PIVOT!$B$4:$E$391,3,FALSE),"")</f>
        <v/>
      </c>
      <c r="I44" s="19">
        <f>H44/6000</f>
        <v/>
      </c>
      <c r="J44" s="19">
        <f>IFERROR(VLOOKUP(A44,[2]PIVOT!$A$4:$B$388,2,FALSE),"")</f>
        <v/>
      </c>
      <c r="K44" s="19">
        <f>J44/6000</f>
        <v/>
      </c>
      <c r="L44" s="21">
        <f>H44/J44-1</f>
        <v/>
      </c>
      <c r="M44" s="21">
        <f>VLOOKUP(A44,[1]PIVOT!$B$4:$C$400,2,FALSE)</f>
        <v/>
      </c>
      <c r="N44" s="19" t="n"/>
      <c r="O44" s="20">
        <f>LEFT(F44,2)</f>
        <v/>
      </c>
      <c r="P44" s="20">
        <f>RIGHT(LEFT(F44,SEARCH("'",F44)-1),2)</f>
        <v/>
      </c>
      <c r="Q44" s="20">
        <f>LEN(F44)</f>
        <v/>
      </c>
      <c r="R44" s="20">
        <f>RIGHT(F44,Q44-SEARCH("'",F44))</f>
        <v/>
      </c>
      <c r="S44" s="20">
        <f>LEFT(R44,SEARCH("""",R44)-1)</f>
        <v/>
      </c>
      <c r="U44" s="20">
        <f>LEFT(G44,2)</f>
        <v/>
      </c>
      <c r="V44" s="20">
        <f>RIGHT(LEFT(G44,SEARCH("'",G44)-1),2)</f>
        <v/>
      </c>
      <c r="W44" s="20">
        <f>LEN(G44)</f>
        <v/>
      </c>
      <c r="X44" s="20">
        <f>RIGHT(G44,W44-SEARCH("'",G44))</f>
        <v/>
      </c>
      <c r="Y44" s="20">
        <f>LEFT(X44,SEARCH("""",X44)-1)</f>
        <v/>
      </c>
    </row>
    <row r="45" ht="16.8" customHeight="1">
      <c r="A45" s="15" t="inlineStr">
        <is>
          <t>شركة مياه اليرموك الشونه الشماليه</t>
        </is>
      </c>
      <c r="B45" s="2" t="inlineStr">
        <is>
          <t>شركة مياه اليرموك- مديرية مياه الشونة الشمالية</t>
        </is>
      </c>
      <c r="C45" s="24" t="e">
        <v>#N/A</v>
      </c>
      <c r="D45" s="22" t="inlineStr">
        <is>
          <t>35.6110277777778</t>
        </is>
      </c>
      <c r="E45" s="22" t="inlineStr">
        <is>
          <t>32.5991666666667</t>
        </is>
      </c>
      <c r="F45" s="7" t="inlineStr">
        <is>
          <t>35°36'39,7"E</t>
        </is>
      </c>
      <c r="G45" s="7" t="inlineStr">
        <is>
          <t>32°35'57,0"N</t>
        </is>
      </c>
      <c r="H45" s="20">
        <f>IFERROR(VLOOKUP(A45,[1]PIVOT!$B$4:$E$391,3,FALSE),"")</f>
        <v/>
      </c>
      <c r="I45" s="19">
        <f>H45/6000</f>
        <v/>
      </c>
      <c r="J45" s="19">
        <f>IFERROR(VLOOKUP(A45,[2]PIVOT!$A$4:$B$388,2,FALSE),"")</f>
        <v/>
      </c>
      <c r="K45" s="19">
        <f>J45/6000</f>
        <v/>
      </c>
      <c r="L45" s="21">
        <f>H45/J45-1</f>
        <v/>
      </c>
      <c r="M45" s="21">
        <f>VLOOKUP(A45,[1]PIVOT!$B$4:$C$400,2,FALSE)</f>
        <v/>
      </c>
      <c r="N45" s="19" t="n"/>
      <c r="O45" s="20">
        <f>LEFT(F45,2)</f>
        <v/>
      </c>
      <c r="P45" s="20">
        <f>RIGHT(LEFT(F45,SEARCH("'",F45)-1),2)</f>
        <v/>
      </c>
      <c r="Q45" s="20">
        <f>LEN(F45)</f>
        <v/>
      </c>
      <c r="R45" s="20">
        <f>RIGHT(F45,Q45-SEARCH("'",F45))</f>
        <v/>
      </c>
      <c r="S45" s="20">
        <f>LEFT(R45,SEARCH("""",R45)-1)</f>
        <v/>
      </c>
      <c r="U45" s="20">
        <f>LEFT(G45,2)</f>
        <v/>
      </c>
      <c r="V45" s="20">
        <f>RIGHT(LEFT(G45,SEARCH("'",G45)-1),2)</f>
        <v/>
      </c>
      <c r="W45" s="20">
        <f>LEN(G45)</f>
        <v/>
      </c>
      <c r="X45" s="20">
        <f>RIGHT(G45,W45-SEARCH("'",G45))</f>
        <v/>
      </c>
      <c r="Y45" s="20">
        <f>LEFT(X45,SEARCH("""",X45)-1)</f>
        <v/>
      </c>
    </row>
    <row r="46" ht="27" customHeight="1">
      <c r="A46" s="9" t="inlineStr">
        <is>
          <t>026/خزان سماالروسان</t>
        </is>
      </c>
      <c r="B46" s="10" t="inlineStr">
        <is>
          <t>خزان سما الروسان</t>
        </is>
      </c>
      <c r="C46" s="23" t="inlineStr">
        <is>
          <t>Sama El Rosan R</t>
        </is>
      </c>
      <c r="D46" s="11" t="inlineStr">
        <is>
          <t>35.8373</t>
        </is>
      </c>
      <c r="E46" s="11" t="inlineStr">
        <is>
          <t>32.6406</t>
        </is>
      </c>
      <c r="H46" s="20">
        <f>IFERROR(VLOOKUP(A46,[1]PIVOT!$B$4:$E$391,3,FALSE),"")</f>
        <v/>
      </c>
      <c r="I46" s="19">
        <f>H46/6000</f>
        <v/>
      </c>
      <c r="J46" s="19">
        <f>IFERROR(VLOOKUP(A46,[2]PIVOT!$A$4:$B$388,2,FALSE),"")</f>
        <v/>
      </c>
      <c r="K46" s="19">
        <f>J46/6000</f>
        <v/>
      </c>
      <c r="L46" s="21">
        <f>H46/J46-1</f>
        <v/>
      </c>
      <c r="M46" s="21">
        <f>VLOOKUP(A46,[1]PIVOT!$B$4:$C$400,2,FALSE)</f>
        <v/>
      </c>
      <c r="N46" s="19" t="n"/>
      <c r="Q46" s="20">
        <f>LEN(F46)</f>
        <v/>
      </c>
      <c r="W46" s="20">
        <f>LEN(G46)</f>
        <v/>
      </c>
    </row>
    <row r="47" ht="27" customHeight="1">
      <c r="A47" s="9" t="inlineStr">
        <is>
          <t>027/بئر حريما رقم 2</t>
        </is>
      </c>
      <c r="B47" s="10" t="inlineStr">
        <is>
          <t>بئر حريما (2)</t>
        </is>
      </c>
      <c r="C47" s="23" t="inlineStr">
        <is>
          <t>Harima Well 2</t>
        </is>
      </c>
      <c r="D47" s="11" t="inlineStr">
        <is>
          <t>35.88715137</t>
        </is>
      </c>
      <c r="E47" s="11" t="inlineStr">
        <is>
          <t>32.63810856</t>
        </is>
      </c>
      <c r="H47" s="20">
        <f>IFERROR(VLOOKUP(A47,[1]PIVOT!$B$4:$E$391,3,FALSE),"")</f>
        <v/>
      </c>
      <c r="I47" s="19">
        <f>H47/6000</f>
        <v/>
      </c>
      <c r="J47" s="19">
        <f>IFERROR(VLOOKUP(A47,[2]PIVOT!$A$4:$B$388,2,FALSE),"")</f>
        <v/>
      </c>
      <c r="K47" s="19">
        <f>J47/6000</f>
        <v/>
      </c>
      <c r="L47" s="21">
        <f>H47/J47-1</f>
        <v/>
      </c>
      <c r="M47" s="21">
        <f>VLOOKUP(A47,[1]PIVOT!$B$4:$C$400,2,FALSE)</f>
        <v/>
      </c>
      <c r="N47" s="19" t="n"/>
      <c r="Q47" s="20">
        <f>LEN(F47)</f>
        <v/>
      </c>
      <c r="W47" s="20">
        <f>LEN(G47)</f>
        <v/>
      </c>
    </row>
    <row r="48" ht="27" customHeight="1">
      <c r="A48" s="9" t="inlineStr">
        <is>
          <t>029/محطة حريما</t>
        </is>
      </c>
      <c r="B48" s="10" t="inlineStr">
        <is>
          <t>محطة ضخ مياه حريما+ بئر (1)</t>
        </is>
      </c>
      <c r="C48" s="23" t="inlineStr">
        <is>
          <t>Harima PS</t>
        </is>
      </c>
      <c r="D48" s="11" t="inlineStr">
        <is>
          <t>35.88242322</t>
        </is>
      </c>
      <c r="E48" s="11" t="inlineStr">
        <is>
          <t>32.63483693</t>
        </is>
      </c>
      <c r="H48" s="20">
        <f>IFERROR(VLOOKUP(A48,[1]PIVOT!$B$4:$E$391,3,FALSE),"")</f>
        <v/>
      </c>
      <c r="I48" s="19">
        <f>H48/6000</f>
        <v/>
      </c>
      <c r="J48" s="19">
        <f>IFERROR(VLOOKUP(A48,[2]PIVOT!$A$4:$B$388,2,FALSE),"")</f>
        <v/>
      </c>
      <c r="K48" s="19">
        <f>J48/6000</f>
        <v/>
      </c>
      <c r="L48" s="21">
        <f>H48/J48-1</f>
        <v/>
      </c>
      <c r="M48" s="21">
        <f>VLOOKUP(A48,[1]PIVOT!$B$4:$C$400,2,FALSE)</f>
        <v/>
      </c>
      <c r="N48" s="19" t="n"/>
      <c r="Q48" s="20">
        <f>LEN(F48)</f>
        <v/>
      </c>
      <c r="W48" s="20">
        <f>LEN(G48)</f>
        <v/>
      </c>
    </row>
    <row r="49" ht="27" customHeight="1">
      <c r="A49" s="9" t="inlineStr">
        <is>
          <t>036/محطة تنقية دوقره</t>
        </is>
      </c>
      <c r="B49" s="10" t="inlineStr">
        <is>
          <t>محطة تنقية صرف صحي دوقرا</t>
        </is>
      </c>
      <c r="C49" s="23" t="inlineStr">
        <is>
          <t>Dougrah WWTP</t>
        </is>
      </c>
      <c r="D49" s="12" t="inlineStr">
        <is>
          <t>35.739918</t>
        </is>
      </c>
      <c r="E49" s="12" t="inlineStr">
        <is>
          <t>32.611468</t>
        </is>
      </c>
      <c r="F49" s="20" t="n"/>
      <c r="G49" s="20" t="n"/>
      <c r="H49" s="20">
        <f>IFERROR(VLOOKUP(A49,[1]PIVOT!$B$4:$E$391,3,FALSE),"")</f>
        <v/>
      </c>
      <c r="I49" s="19">
        <f>H49/6000</f>
        <v/>
      </c>
      <c r="J49" s="19">
        <f>IFERROR(VLOOKUP(A49,[2]PIVOT!$A$4:$B$388,2,FALSE),"")</f>
        <v/>
      </c>
      <c r="K49" s="19">
        <f>J49/6000</f>
        <v/>
      </c>
      <c r="L49" s="21">
        <f>H49/J49-1</f>
        <v/>
      </c>
      <c r="M49" s="21">
        <f>VLOOKUP(A49,[1]PIVOT!$B$4:$C$400,2,FALSE)</f>
        <v/>
      </c>
      <c r="N49" s="19" t="n"/>
      <c r="Q49" s="20">
        <f>LEN(F49)</f>
        <v/>
      </c>
      <c r="W49" s="20">
        <f>LEN(G49)</f>
        <v/>
      </c>
    </row>
    <row r="50" ht="27" customHeight="1">
      <c r="A50" s="9" t="inlineStr">
        <is>
          <t>037/محطة دوقره</t>
        </is>
      </c>
      <c r="B50" s="10" t="inlineStr">
        <is>
          <t>بئر ومحطة ضخ مياه دوقرا</t>
        </is>
      </c>
      <c r="C50" s="23" t="inlineStr">
        <is>
          <t>Dougara PS</t>
        </is>
      </c>
      <c r="D50" s="11" t="inlineStr">
        <is>
          <t>35.7343</t>
        </is>
      </c>
      <c r="E50" s="11" t="inlineStr">
        <is>
          <t>32.6072</t>
        </is>
      </c>
      <c r="H50" s="20">
        <f>IFERROR(VLOOKUP(A50,[1]PIVOT!$B$4:$E$391,3,FALSE),"")</f>
        <v/>
      </c>
      <c r="I50" s="19">
        <f>H50/6000</f>
        <v/>
      </c>
      <c r="J50" s="19">
        <f>IFERROR(VLOOKUP(A50,[2]PIVOT!$A$4:$B$388,2,FALSE),"")</f>
        <v/>
      </c>
      <c r="K50" s="19">
        <f>J50/6000</f>
        <v/>
      </c>
      <c r="L50" s="21">
        <f>H50/J50-1</f>
        <v/>
      </c>
      <c r="M50" s="21">
        <f>VLOOKUP(A50,[1]PIVOT!$B$4:$C$400,2,FALSE)</f>
        <v/>
      </c>
      <c r="N50" s="19" t="n"/>
      <c r="Q50" s="20">
        <f>LEN(F50)</f>
        <v/>
      </c>
      <c r="W50" s="20">
        <f>LEN(G50)</f>
        <v/>
      </c>
    </row>
    <row r="51" ht="27" customHeight="1">
      <c r="A51" s="9" t="inlineStr">
        <is>
          <t>043/محطة الطيبه</t>
        </is>
      </c>
      <c r="B51" s="10" t="inlineStr">
        <is>
          <t>بئر ومحطة ضخ مياه الطيبة</t>
        </is>
      </c>
      <c r="C51" s="23" t="inlineStr">
        <is>
          <t>Al Tayybeh PS</t>
        </is>
      </c>
      <c r="D51" s="11" t="inlineStr">
        <is>
          <t>35.70587199</t>
        </is>
      </c>
      <c r="E51" s="11" t="inlineStr">
        <is>
          <t>32.55775268</t>
        </is>
      </c>
      <c r="H51" s="20">
        <f>IFERROR(VLOOKUP(A51,[1]PIVOT!$B$4:$E$391,3,FALSE),"")</f>
        <v/>
      </c>
      <c r="I51" s="19">
        <f>H51/6000</f>
        <v/>
      </c>
      <c r="J51" s="19">
        <f>IFERROR(VLOOKUP(A51,[2]PIVOT!$A$4:$B$388,2,FALSE),"")</f>
        <v/>
      </c>
      <c r="K51" s="19">
        <f>J51/6000</f>
        <v/>
      </c>
      <c r="L51" s="21">
        <f>H51/J51-1</f>
        <v/>
      </c>
      <c r="M51" s="21">
        <f>VLOOKUP(A51,[1]PIVOT!$B$4:$C$400,2,FALSE)</f>
        <v/>
      </c>
      <c r="N51" s="19" t="n"/>
      <c r="Q51" s="20">
        <f>LEN(F51)</f>
        <v/>
      </c>
      <c r="W51" s="20">
        <f>LEN(G51)</f>
        <v/>
      </c>
    </row>
    <row r="52" ht="27" customHeight="1">
      <c r="A52" s="9" t="inlineStr">
        <is>
          <t>046/محطة كفريوبا</t>
        </is>
      </c>
      <c r="B52" s="10" t="inlineStr">
        <is>
          <t>بئر ومحطة ضخ مياه كفريوبا</t>
        </is>
      </c>
      <c r="C52" s="23" t="inlineStr">
        <is>
          <t>Kufr Youba PS Well &amp; Res.</t>
        </is>
      </c>
      <c r="D52" s="11" t="inlineStr">
        <is>
          <t>35.7885</t>
        </is>
      </c>
      <c r="E52" s="11" t="inlineStr">
        <is>
          <t>32.5322</t>
        </is>
      </c>
      <c r="H52" s="20">
        <f>IFERROR(VLOOKUP(A52,[1]PIVOT!$B$4:$E$391,3,FALSE),"")</f>
        <v/>
      </c>
      <c r="I52" s="19">
        <f>H52/6000</f>
        <v/>
      </c>
      <c r="J52" s="19">
        <f>IFERROR(VLOOKUP(A52,[2]PIVOT!$A$4:$B$388,2,FALSE),"")</f>
        <v/>
      </c>
      <c r="K52" s="19">
        <f>J52/6000</f>
        <v/>
      </c>
      <c r="L52" s="21">
        <f>H52/J52-1</f>
        <v/>
      </c>
      <c r="M52" s="21">
        <f>VLOOKUP(A52,[1]PIVOT!$B$4:$C$400,2,FALSE)</f>
        <v/>
      </c>
      <c r="N52" s="19" t="n"/>
      <c r="Q52" s="20">
        <f>LEN(F52)</f>
        <v/>
      </c>
      <c r="W52" s="20">
        <f>LEN(G52)</f>
        <v/>
      </c>
    </row>
    <row r="53" ht="27" customHeight="1">
      <c r="A53" s="9" t="inlineStr">
        <is>
          <t>048/محطة راحوب</t>
        </is>
      </c>
      <c r="B53" s="10" t="inlineStr">
        <is>
          <t>محطة ضخ مياه ونبع راحوب</t>
        </is>
      </c>
      <c r="C53" s="23" t="inlineStr">
        <is>
          <t>Rahoub PS Well &amp; Res.</t>
        </is>
      </c>
      <c r="D53" s="12" t="inlineStr">
        <is>
          <t>35.931344</t>
        </is>
      </c>
      <c r="E53" s="12" t="inlineStr">
        <is>
          <t>32.609676</t>
        </is>
      </c>
      <c r="H53" s="20">
        <f>IFERROR(VLOOKUP(A53,[1]PIVOT!$B$4:$E$391,3,FALSE),"")</f>
        <v/>
      </c>
      <c r="I53" s="19">
        <f>H53/6000</f>
        <v/>
      </c>
      <c r="J53" s="19">
        <f>IFERROR(VLOOKUP(A53,[2]PIVOT!$A$4:$B$388,2,FALSE),"")</f>
        <v/>
      </c>
      <c r="K53" s="19">
        <f>J53/6000</f>
        <v/>
      </c>
      <c r="L53" s="21">
        <f>H53/J53-1</f>
        <v/>
      </c>
      <c r="M53" s="21">
        <f>VLOOKUP(A53,[1]PIVOT!$B$4:$C$400,2,FALSE)</f>
        <v/>
      </c>
      <c r="N53" s="19" t="n"/>
      <c r="Q53" s="20">
        <f>LEN(F53)</f>
        <v/>
      </c>
      <c r="W53" s="20">
        <f>LEN(G53)</f>
        <v/>
      </c>
    </row>
    <row r="54" ht="27" customHeight="1">
      <c r="A54" s="9" t="inlineStr">
        <is>
          <t>050/بئر حكما رقم 7</t>
        </is>
      </c>
      <c r="B54" s="10" t="inlineStr">
        <is>
          <t>بئر حكما (6)</t>
        </is>
      </c>
      <c r="C54" s="23" t="inlineStr">
        <is>
          <t>Hakama Well 6</t>
        </is>
      </c>
      <c r="D54" s="12" t="inlineStr">
        <is>
          <t>35.883798</t>
        </is>
      </c>
      <c r="E54" s="12" t="inlineStr">
        <is>
          <t>32.574143</t>
        </is>
      </c>
      <c r="H54" s="20">
        <f>IFERROR(VLOOKUP(A54,[1]PIVOT!$B$4:$E$391,3,FALSE),"")</f>
        <v/>
      </c>
      <c r="I54" s="19">
        <f>H54/6000</f>
        <v/>
      </c>
      <c r="J54" s="19">
        <f>IFERROR(VLOOKUP(A54,[2]PIVOT!$A$4:$B$388,2,FALSE),"")</f>
        <v/>
      </c>
      <c r="K54" s="19">
        <f>J54/6000</f>
        <v/>
      </c>
      <c r="L54" s="21">
        <f>H54/J54-1</f>
        <v/>
      </c>
      <c r="M54" s="21">
        <f>VLOOKUP(A54,[1]PIVOT!$B$4:$C$400,2,FALSE)</f>
        <v/>
      </c>
      <c r="N54" s="19" t="n"/>
      <c r="Q54" s="20">
        <f>LEN(F54)</f>
        <v/>
      </c>
      <c r="W54" s="20">
        <f>LEN(G54)</f>
        <v/>
      </c>
    </row>
    <row r="55" ht="27" customHeight="1">
      <c r="A55" s="9" t="inlineStr">
        <is>
          <t>051/بئر حكما رقم 6</t>
        </is>
      </c>
      <c r="B55" s="10" t="inlineStr">
        <is>
          <t>بئر حكما (8)</t>
        </is>
      </c>
      <c r="C55" s="23" t="inlineStr">
        <is>
          <t>Hakama Well 8</t>
        </is>
      </c>
      <c r="D55" s="12" t="inlineStr">
        <is>
          <t>35.908107</t>
        </is>
      </c>
      <c r="E55" s="12" t="inlineStr">
        <is>
          <t>32.588229</t>
        </is>
      </c>
      <c r="H55" s="20">
        <f>IFERROR(VLOOKUP(A55,[1]PIVOT!$B$4:$E$391,3,FALSE),"")</f>
        <v/>
      </c>
      <c r="I55" s="19">
        <f>H55/6000</f>
        <v/>
      </c>
      <c r="J55" s="19">
        <f>IFERROR(VLOOKUP(A55,[2]PIVOT!$A$4:$B$388,2,FALSE),"")</f>
        <v/>
      </c>
      <c r="K55" s="19">
        <f>J55/6000</f>
        <v/>
      </c>
      <c r="L55" s="21">
        <f>H55/J55-1</f>
        <v/>
      </c>
      <c r="M55" s="21">
        <f>VLOOKUP(A55,[1]PIVOT!$B$4:$C$400,2,FALSE)</f>
        <v/>
      </c>
      <c r="N55" s="19" t="n"/>
      <c r="Q55" s="20">
        <f>LEN(F55)</f>
        <v/>
      </c>
      <c r="W55" s="20">
        <f>LEN(G55)</f>
        <v/>
      </c>
    </row>
    <row r="56" ht="27" customHeight="1">
      <c r="A56" s="9" t="inlineStr">
        <is>
          <t>052/محطة رفع حكما</t>
        </is>
      </c>
      <c r="B56" s="10" t="inlineStr">
        <is>
          <t>محطة رفع صرف صحي حكما</t>
        </is>
      </c>
      <c r="C56" s="23" t="inlineStr">
        <is>
          <t>Hakama  Sewage Lifting Station</t>
        </is>
      </c>
      <c r="D56" s="12" t="inlineStr">
        <is>
          <t>35.880437</t>
        </is>
      </c>
      <c r="E56" s="12" t="inlineStr">
        <is>
          <t>32.580504</t>
        </is>
      </c>
      <c r="H56" s="20">
        <f>IFERROR(VLOOKUP(A56,[1]PIVOT!$B$4:$E$391,3,FALSE),"")</f>
        <v/>
      </c>
      <c r="I56" s="19">
        <f>H56/6000</f>
        <v/>
      </c>
      <c r="J56" s="19">
        <f>IFERROR(VLOOKUP(A56,[2]PIVOT!$A$4:$B$388,2,FALSE),"")</f>
        <v/>
      </c>
      <c r="K56" s="19">
        <f>J56/6000</f>
        <v/>
      </c>
      <c r="L56" s="21">
        <f>H56/J56-1</f>
        <v/>
      </c>
      <c r="M56" s="21">
        <f>VLOOKUP(A56,[1]PIVOT!$B$4:$C$400,2,FALSE)</f>
        <v/>
      </c>
      <c r="N56" s="19" t="n"/>
      <c r="Q56" s="20">
        <f>LEN(F56)</f>
        <v/>
      </c>
      <c r="W56" s="20">
        <f>LEN(G56)</f>
        <v/>
      </c>
    </row>
    <row r="57" ht="27" customHeight="1">
      <c r="A57" s="9" t="inlineStr">
        <is>
          <t>053/محطة بشرى 1</t>
        </is>
      </c>
      <c r="B57" s="10" t="inlineStr">
        <is>
          <t>محطة ضخ مياه بشرى+ بئر حكما(3)&amp;(4)</t>
        </is>
      </c>
      <c r="C57" s="23" t="inlineStr">
        <is>
          <t>Bushra PS Well &amp; Res.</t>
        </is>
      </c>
      <c r="D57" s="12" t="inlineStr">
        <is>
          <t>35.8930783</t>
        </is>
      </c>
      <c r="E57" s="12" t="inlineStr">
        <is>
          <t>32.5802764</t>
        </is>
      </c>
      <c r="F57" s="20" t="n"/>
      <c r="G57" s="20" t="n"/>
      <c r="H57" s="20">
        <f>IFERROR(VLOOKUP(A57,[1]PIVOT!$B$4:$E$391,3,FALSE),"")</f>
        <v/>
      </c>
      <c r="I57" s="19">
        <f>H57/6000</f>
        <v/>
      </c>
      <c r="J57" s="19">
        <f>IFERROR(VLOOKUP(A57,[2]PIVOT!$A$4:$B$388,2,FALSE),"")</f>
        <v/>
      </c>
      <c r="K57" s="19">
        <f>J57/6000</f>
        <v/>
      </c>
      <c r="L57" s="21">
        <f>H57/J57-1</f>
        <v/>
      </c>
      <c r="M57" s="21">
        <f>VLOOKUP(A57,[1]PIVOT!$B$4:$C$400,2,FALSE)</f>
        <v/>
      </c>
      <c r="N57" s="19" t="n"/>
      <c r="Q57" s="20">
        <f>LEN(F57)</f>
        <v/>
      </c>
      <c r="W57" s="20">
        <f>LEN(G57)</f>
        <v/>
      </c>
    </row>
    <row r="58" ht="27" customHeight="1">
      <c r="A58" s="9" t="inlineStr">
        <is>
          <t>054/محطة تنقية اربد-فوعرا</t>
        </is>
      </c>
      <c r="B58" s="10" t="inlineStr">
        <is>
          <t>محطة تنقية صرف صحي فوعرا</t>
        </is>
      </c>
      <c r="C58" s="24" t="e">
        <v>#N/A</v>
      </c>
      <c r="D58" s="12" t="inlineStr">
        <is>
          <t>35.836979</t>
        </is>
      </c>
      <c r="E58" s="12" t="inlineStr">
        <is>
          <t>32.575423</t>
        </is>
      </c>
      <c r="H58" s="20">
        <f>IFERROR(VLOOKUP(A58,[1]PIVOT!$B$4:$E$391,3,FALSE),"")</f>
        <v/>
      </c>
      <c r="I58" s="19">
        <f>H58/6000</f>
        <v/>
      </c>
      <c r="J58" s="19">
        <f>IFERROR(VLOOKUP(A58,[2]PIVOT!$A$4:$B$388,2,FALSE),"")</f>
        <v/>
      </c>
      <c r="K58" s="19">
        <f>J58/6000</f>
        <v/>
      </c>
      <c r="L58" s="21">
        <f>H58/J58-1</f>
        <v/>
      </c>
      <c r="M58" s="21">
        <f>VLOOKUP(A58,[1]PIVOT!$B$4:$C$400,2,FALSE)</f>
        <v/>
      </c>
      <c r="N58" s="19" t="n"/>
      <c r="Q58" s="20">
        <f>LEN(F58)</f>
        <v/>
      </c>
      <c r="W58" s="20">
        <f>LEN(G58)</f>
        <v/>
      </c>
    </row>
    <row r="59" ht="27" customHeight="1">
      <c r="A59" s="9" t="inlineStr">
        <is>
          <t>056/بئر حكما رقم 5</t>
        </is>
      </c>
      <c r="B59" s="10" t="inlineStr">
        <is>
          <t>بئر حكما (5)</t>
        </is>
      </c>
      <c r="C59" s="23" t="inlineStr">
        <is>
          <t>Hakama Well 5</t>
        </is>
      </c>
      <c r="D59" s="11" t="inlineStr">
        <is>
          <t>35.9049</t>
        </is>
      </c>
      <c r="E59" s="11" t="inlineStr">
        <is>
          <t>32.5672</t>
        </is>
      </c>
      <c r="H59" s="20">
        <f>IFERROR(VLOOKUP(A59,[1]PIVOT!$B$4:$E$391,3,FALSE),"")</f>
        <v/>
      </c>
      <c r="I59" s="19">
        <f>H59/6000</f>
        <v/>
      </c>
      <c r="J59" s="19">
        <f>IFERROR(VLOOKUP(A59,[2]PIVOT!$A$4:$B$388,2,FALSE),"")</f>
        <v/>
      </c>
      <c r="K59" s="19">
        <f>J59/6000</f>
        <v/>
      </c>
      <c r="L59" s="21">
        <f>H59/J59-1</f>
        <v/>
      </c>
      <c r="M59" s="21">
        <f>VLOOKUP(A59,[1]PIVOT!$B$4:$C$400,2,FALSE)</f>
        <v/>
      </c>
      <c r="N59" s="19" t="n"/>
      <c r="Q59" s="20">
        <f>LEN(F59)</f>
        <v/>
      </c>
      <c r="W59" s="20">
        <f>LEN(G59)</f>
        <v/>
      </c>
    </row>
    <row r="60" ht="27" customHeight="1">
      <c r="A60" s="9" t="inlineStr">
        <is>
          <t>057/السكن الوظيفي لموظفي</t>
        </is>
      </c>
      <c r="B60" s="10" t="inlineStr">
        <is>
          <t>شركة مياه اليرموك- اسكان الموظفين- اشتراك (1)</t>
        </is>
      </c>
      <c r="C60" s="24" t="e">
        <v>#N/A</v>
      </c>
      <c r="D60" s="11" t="inlineStr">
        <is>
          <t>35.8389</t>
        </is>
      </c>
      <c r="E60" s="11" t="inlineStr">
        <is>
          <t>32.5307</t>
        </is>
      </c>
      <c r="H60" s="20">
        <f>IFERROR(VLOOKUP(A60,[1]PIVOT!$B$4:$E$391,3,FALSE),"")</f>
        <v/>
      </c>
      <c r="I60" s="19">
        <f>H60/6000</f>
        <v/>
      </c>
      <c r="J60" s="19">
        <f>IFERROR(VLOOKUP(A60,[2]PIVOT!$A$4:$B$388,2,FALSE),"")</f>
        <v/>
      </c>
      <c r="K60" s="19">
        <f>J60/6000</f>
        <v/>
      </c>
      <c r="L60" s="21">
        <f>H60/J60-1</f>
        <v/>
      </c>
      <c r="M60" s="21">
        <f>VLOOKUP(A60,[1]PIVOT!$B$4:$C$400,2,FALSE)</f>
        <v/>
      </c>
      <c r="N60" s="19" t="n"/>
      <c r="Q60" s="20">
        <f>LEN(F60)</f>
        <v/>
      </c>
      <c r="W60" s="20">
        <f>LEN(G60)</f>
        <v/>
      </c>
    </row>
    <row r="61" ht="27" customHeight="1">
      <c r="A61" s="9" t="inlineStr">
        <is>
          <t>057/مبنى قطاع الشمال-مبنى</t>
        </is>
      </c>
      <c r="B61" s="10" t="inlineStr">
        <is>
          <t>شركة مياه اليرموك- الادارة العامة- اشتراك (1)</t>
        </is>
      </c>
      <c r="C61" s="23" t="inlineStr">
        <is>
          <t>YWC HQ Office</t>
        </is>
      </c>
      <c r="D61" s="11" t="inlineStr">
        <is>
          <t>35.85867957</t>
        </is>
      </c>
      <c r="E61" s="11" t="inlineStr">
        <is>
          <t>32.55268915</t>
        </is>
      </c>
      <c r="H61" s="20">
        <f>IFERROR(VLOOKUP(A61,[1]PIVOT!$B$4:$E$391,3,FALSE),"")</f>
        <v/>
      </c>
      <c r="I61" s="19">
        <f>H61/6000</f>
        <v/>
      </c>
      <c r="J61" s="19">
        <f>IFERROR(VLOOKUP(A61,[2]PIVOT!$A$4:$B$388,2,FALSE),"")</f>
        <v/>
      </c>
      <c r="K61" s="19">
        <f>J61/6000</f>
        <v/>
      </c>
      <c r="L61" s="21">
        <f>H61/J61-1</f>
        <v/>
      </c>
      <c r="M61" s="21">
        <f>VLOOKUP(A61,[1]PIVOT!$B$4:$C$400,2,FALSE)</f>
        <v/>
      </c>
      <c r="N61" s="19" t="n"/>
      <c r="Q61" s="20">
        <f>LEN(F61)</f>
        <v/>
      </c>
      <c r="W61" s="20">
        <f>LEN(G61)</f>
        <v/>
      </c>
    </row>
    <row r="62" ht="27" customHeight="1">
      <c r="A62" s="9" t="inlineStr">
        <is>
          <t>057/مبنى قطاع الشمال/الادا</t>
        </is>
      </c>
      <c r="B62" s="10" t="inlineStr">
        <is>
          <t>شركة مياه اليرموك- الادارة العامة- اشتراك (2)</t>
        </is>
      </c>
      <c r="C62" s="23" t="inlineStr">
        <is>
          <t>YWC HQ Office</t>
        </is>
      </c>
      <c r="D62" s="12" t="inlineStr">
        <is>
          <t>35.858506</t>
        </is>
      </c>
      <c r="E62" s="12" t="inlineStr">
        <is>
          <t>32.552159</t>
        </is>
      </c>
      <c r="H62" s="20">
        <f>IFERROR(VLOOKUP(A62,[1]PIVOT!$B$4:$E$391,3,FALSE),"")</f>
        <v/>
      </c>
      <c r="I62" s="19">
        <f>H62/6000</f>
        <v/>
      </c>
      <c r="J62" s="19">
        <f>IFERROR(VLOOKUP(A62,[2]PIVOT!$A$4:$B$388,2,FALSE),"")</f>
        <v/>
      </c>
      <c r="K62" s="19">
        <f>J62/6000</f>
        <v/>
      </c>
      <c r="L62" s="21">
        <f>H62/J62-1</f>
        <v/>
      </c>
      <c r="M62" s="21">
        <f>VLOOKUP(A62,[1]PIVOT!$B$4:$C$400,2,FALSE)</f>
        <v/>
      </c>
      <c r="N62" s="19" t="n"/>
      <c r="Q62" s="20">
        <f>LEN(F62)</f>
        <v/>
      </c>
      <c r="W62" s="20">
        <f>LEN(G62)</f>
        <v/>
      </c>
    </row>
    <row r="63" ht="27" customHeight="1">
      <c r="A63" s="9" t="inlineStr">
        <is>
          <t>057/مبنى قطاع الشمال/الادا</t>
        </is>
      </c>
      <c r="B63" s="10" t="inlineStr">
        <is>
          <t>شركة مياه اليرموك- الادارة العامة- اشتراك (3)</t>
        </is>
      </c>
      <c r="C63" s="23" t="inlineStr">
        <is>
          <t>YWC HQ Office</t>
        </is>
      </c>
      <c r="D63" s="12" t="inlineStr">
        <is>
          <t>35.858527</t>
        </is>
      </c>
      <c r="E63" s="12" t="inlineStr">
        <is>
          <t>32.552133</t>
        </is>
      </c>
      <c r="H63" s="20" t="n"/>
      <c r="I63" s="19">
        <f>H63/6000</f>
        <v/>
      </c>
      <c r="J63" s="19">
        <f>IFERROR(VLOOKUP(A63,[2]PIVOT!$A$4:$B$388,2,FALSE),"")</f>
        <v/>
      </c>
      <c r="K63" s="19">
        <f>J63/6000</f>
        <v/>
      </c>
      <c r="L63" s="21">
        <f>H63/J63-1</f>
        <v/>
      </c>
      <c r="M63" s="21">
        <f>VLOOKUP(A63,[1]PIVOT!$B$4:$C$400,2,FALSE)</f>
        <v/>
      </c>
      <c r="N63" s="19" t="n"/>
      <c r="Q63" s="20">
        <f>LEN(F63)</f>
        <v/>
      </c>
      <c r="W63" s="20">
        <f>LEN(G63)</f>
        <v/>
      </c>
    </row>
    <row r="64" ht="27" customHeight="1">
      <c r="A64" s="9" t="inlineStr">
        <is>
          <t>059/محطة زبده # 3</t>
        </is>
      </c>
      <c r="B64" s="10" t="inlineStr">
        <is>
          <t>محطة ضخ مياه زبدا- اشتراك (3)</t>
        </is>
      </c>
      <c r="C64" s="24" t="e">
        <v>#N/A</v>
      </c>
      <c r="D64" s="11" t="inlineStr">
        <is>
          <t>35.8357</t>
        </is>
      </c>
      <c r="E64" s="11" t="inlineStr">
        <is>
          <t>32.5342</t>
        </is>
      </c>
      <c r="F64" s="20" t="n"/>
      <c r="G64" s="20" t="n"/>
      <c r="H64" s="20">
        <f>IFERROR(VLOOKUP(A64,[1]PIVOT!$B$4:$E$391,3,FALSE),"")</f>
        <v/>
      </c>
      <c r="I64" s="19">
        <f>H64/6000</f>
        <v/>
      </c>
      <c r="J64" s="19">
        <f>IFERROR(VLOOKUP(A64,[2]PIVOT!$A$4:$B$388,2,FALSE),"")</f>
        <v/>
      </c>
      <c r="K64" s="19">
        <f>J64/6000</f>
        <v/>
      </c>
      <c r="L64" s="21">
        <f>H64/J64-1</f>
        <v/>
      </c>
      <c r="M64" s="21">
        <f>VLOOKUP(A64,[1]PIVOT!$B$4:$C$400,2,FALSE)</f>
        <v/>
      </c>
      <c r="N64" s="19" t="n"/>
      <c r="Q64" s="20">
        <f>LEN(F64)</f>
        <v/>
      </c>
      <c r="W64" s="20">
        <f>LEN(G64)</f>
        <v/>
      </c>
    </row>
    <row r="65" ht="27" customHeight="1">
      <c r="A65" s="9" t="inlineStr">
        <is>
          <t>059/محطة زبده # 4</t>
        </is>
      </c>
      <c r="B65" s="10" t="inlineStr">
        <is>
          <t>محطة ضخ مياه زبدا- اشتراك (4)</t>
        </is>
      </c>
      <c r="C65" s="24" t="e">
        <v>#N/A</v>
      </c>
      <c r="D65" s="11" t="inlineStr">
        <is>
          <t>35.8353</t>
        </is>
      </c>
      <c r="E65" s="11" t="inlineStr">
        <is>
          <t>32.534</t>
        </is>
      </c>
      <c r="H65" s="20">
        <f>IFERROR(VLOOKUP(A65,[1]PIVOT!$B$4:$E$391,3,FALSE),"")</f>
        <v/>
      </c>
      <c r="I65" s="19">
        <f>H65/6000</f>
        <v/>
      </c>
      <c r="J65" s="19">
        <f>IFERROR(VLOOKUP(A65,[2]PIVOT!$A$4:$B$388,2,FALSE),"")</f>
        <v/>
      </c>
      <c r="K65" s="19">
        <f>J65/6000</f>
        <v/>
      </c>
      <c r="L65" s="21">
        <f>H65/J65-1</f>
        <v/>
      </c>
      <c r="M65" s="21">
        <f>VLOOKUP(A65,[1]PIVOT!$B$4:$C$400,2,FALSE)</f>
        <v/>
      </c>
      <c r="N65" s="19" t="n"/>
      <c r="Q65" s="20">
        <f>LEN(F65)</f>
        <v/>
      </c>
      <c r="W65" s="20">
        <f>LEN(G65)</f>
        <v/>
      </c>
    </row>
    <row r="66" ht="27" customHeight="1">
      <c r="A66" s="9" t="inlineStr">
        <is>
          <t>059/محطة زبده #1</t>
        </is>
      </c>
      <c r="B66" s="10" t="inlineStr">
        <is>
          <t>محطة ضخ مياه زبدا- اشتراك (1)</t>
        </is>
      </c>
      <c r="C66" s="24" t="e">
        <v>#N/A</v>
      </c>
      <c r="D66" s="11" t="inlineStr">
        <is>
          <t>35.8357</t>
        </is>
      </c>
      <c r="E66" s="11" t="inlineStr">
        <is>
          <t>32.5342</t>
        </is>
      </c>
      <c r="F66" s="20" t="n"/>
      <c r="G66" s="20" t="n"/>
      <c r="H66" s="20">
        <f>IFERROR(VLOOKUP(A66,[1]PIVOT!$B$4:$E$391,3,FALSE),"")</f>
        <v/>
      </c>
      <c r="I66" s="19">
        <f>H66/6000</f>
        <v/>
      </c>
      <c r="J66" s="19">
        <f>IFERROR(VLOOKUP(A66,[2]PIVOT!$A$4:$B$388,2,FALSE),"")</f>
        <v/>
      </c>
      <c r="K66" s="19">
        <f>J66/6000</f>
        <v/>
      </c>
      <c r="L66" s="21">
        <f>H66/J66-1</f>
        <v/>
      </c>
      <c r="M66" s="21">
        <f>VLOOKUP(A66,[1]PIVOT!$B$4:$C$400,2,FALSE)</f>
        <v/>
      </c>
      <c r="N66" s="19" t="n"/>
      <c r="Q66" s="20">
        <f>LEN(F66)</f>
        <v/>
      </c>
      <c r="W66" s="20">
        <f>LEN(G66)</f>
        <v/>
      </c>
    </row>
    <row r="67" ht="27" customHeight="1">
      <c r="A67" s="9" t="inlineStr">
        <is>
          <t>059/محطة زبده #2</t>
        </is>
      </c>
      <c r="B67" s="10" t="inlineStr">
        <is>
          <t>محطة ضخ مياه زبدا- اشتراك (2)</t>
        </is>
      </c>
      <c r="C67" s="24" t="e">
        <v>#N/A</v>
      </c>
      <c r="D67" s="11" t="inlineStr">
        <is>
          <t>35.8357</t>
        </is>
      </c>
      <c r="E67" s="11" t="inlineStr">
        <is>
          <t>32.5342</t>
        </is>
      </c>
      <c r="F67" s="20" t="n"/>
      <c r="G67" s="20" t="n"/>
      <c r="H67" s="20">
        <f>IFERROR(VLOOKUP(A67,[1]PIVOT!$B$4:$E$391,3,FALSE),"")</f>
        <v/>
      </c>
      <c r="I67" s="19">
        <f>H67/6000</f>
        <v/>
      </c>
      <c r="J67" s="19">
        <f>IFERROR(VLOOKUP(A67,[2]PIVOT!$A$4:$B$388,2,FALSE),"")</f>
        <v/>
      </c>
      <c r="K67" s="19">
        <f>J67/6000</f>
        <v/>
      </c>
      <c r="L67" s="21">
        <f>H67/J67-1</f>
        <v/>
      </c>
      <c r="M67" s="21">
        <f>VLOOKUP(A67,[1]PIVOT!$B$4:$C$400,2,FALSE)</f>
        <v/>
      </c>
      <c r="N67" s="19" t="n"/>
      <c r="Q67" s="20">
        <f>LEN(F67)</f>
        <v/>
      </c>
      <c r="W67" s="20">
        <f>LEN(G67)</f>
        <v/>
      </c>
    </row>
    <row r="68" ht="27" customHeight="1">
      <c r="A68" s="9" t="inlineStr">
        <is>
          <t>062/محطة الجحفيه</t>
        </is>
      </c>
      <c r="B68" s="10" t="inlineStr">
        <is>
          <t>محطة ضخ مياه جحفية+ ابار (1)&amp;(2)&amp;(7)</t>
        </is>
      </c>
      <c r="C68" s="23" t="inlineStr">
        <is>
          <t>Juhfiyya PS Well  &amp; Res.</t>
        </is>
      </c>
      <c r="D68" s="12" t="inlineStr">
        <is>
          <t>35.814589</t>
        </is>
      </c>
      <c r="E68" s="12" t="inlineStr">
        <is>
          <t>32.488418</t>
        </is>
      </c>
      <c r="F68" s="20" t="n"/>
      <c r="G68" s="20" t="n"/>
      <c r="H68" s="20">
        <f>IFERROR(VLOOKUP(A68,[1]PIVOT!$B$4:$E$391,3,FALSE),"")</f>
        <v/>
      </c>
      <c r="I68" s="19">
        <f>H68/6000</f>
        <v/>
      </c>
      <c r="J68" s="19">
        <f>IFERROR(VLOOKUP(A68,[2]PIVOT!$A$4:$B$388,2,FALSE),"")</f>
        <v/>
      </c>
      <c r="K68" s="19">
        <f>J68/6000</f>
        <v/>
      </c>
      <c r="L68" s="21">
        <f>H68/J68-1</f>
        <v/>
      </c>
      <c r="M68" s="21">
        <f>VLOOKUP(A68,[1]PIVOT!$B$4:$C$400,2,FALSE)</f>
        <v/>
      </c>
      <c r="N68" s="19" t="n"/>
      <c r="Q68" s="20">
        <f>LEN(F68)</f>
        <v/>
      </c>
      <c r="W68" s="20">
        <f>LEN(G68)</f>
        <v/>
      </c>
    </row>
    <row r="69" ht="27" customHeight="1">
      <c r="A69" s="9" t="inlineStr">
        <is>
          <t>063/محطة حوفا</t>
        </is>
      </c>
      <c r="B69" s="10" t="inlineStr">
        <is>
          <t>محطة ضخ مياه حوفا</t>
        </is>
      </c>
      <c r="C69" s="24" t="e">
        <v>#N/A</v>
      </c>
      <c r="D69" s="11" t="inlineStr">
        <is>
          <t>35.85086861</t>
        </is>
      </c>
      <c r="E69" s="11" t="inlineStr">
        <is>
          <t>32.48981302</t>
        </is>
      </c>
      <c r="F69" s="20" t="n"/>
      <c r="G69" s="20" t="n"/>
      <c r="H69" s="20">
        <f>IFERROR(VLOOKUP(A69,[1]PIVOT!$B$4:$E$391,3,FALSE),"")</f>
        <v/>
      </c>
      <c r="I69" s="19">
        <f>H69/6000</f>
        <v/>
      </c>
      <c r="J69" s="19">
        <f>IFERROR(VLOOKUP(A69,[2]PIVOT!$A$4:$B$388,2,FALSE),"")</f>
        <v/>
      </c>
      <c r="K69" s="19">
        <f>J69/6000</f>
        <v/>
      </c>
      <c r="L69" s="21">
        <f>H69/J69-1</f>
        <v/>
      </c>
      <c r="M69" s="21">
        <f>VLOOKUP(A69,[1]PIVOT!$B$4:$C$400,2,FALSE)</f>
        <v/>
      </c>
      <c r="N69" s="19" t="n"/>
      <c r="Q69" s="20">
        <f>LEN(F69)</f>
        <v/>
      </c>
      <c r="W69" s="20">
        <f>LEN(G69)</f>
        <v/>
      </c>
    </row>
    <row r="70" ht="27" customHeight="1">
      <c r="A70" s="9" t="inlineStr">
        <is>
          <t>063/محطة مياه فوعرا</t>
        </is>
      </c>
      <c r="B70" s="10" t="inlineStr">
        <is>
          <t>بئر ومحطة ضخ مياه فوعرا</t>
        </is>
      </c>
      <c r="C70" s="23" t="inlineStr">
        <is>
          <t>Fo'ara Pumping Station</t>
        </is>
      </c>
      <c r="D70" s="11" t="inlineStr">
        <is>
          <t>35.7756</t>
        </is>
      </c>
      <c r="E70" s="11" t="inlineStr">
        <is>
          <t>32.6096</t>
        </is>
      </c>
      <c r="H70" s="20">
        <f>IFERROR(VLOOKUP(A70,[1]PIVOT!$B$4:$E$391,3,FALSE),"")</f>
        <v/>
      </c>
      <c r="I70" s="19">
        <f>H70/6000</f>
        <v/>
      </c>
      <c r="J70" s="19">
        <f>IFERROR(VLOOKUP(A70,[2]PIVOT!$A$4:$B$388,2,FALSE),"")</f>
        <v/>
      </c>
      <c r="K70" s="19">
        <f>J70/6000</f>
        <v/>
      </c>
      <c r="L70" s="21">
        <f>H70/J70-1</f>
        <v/>
      </c>
      <c r="M70" s="21">
        <f>VLOOKUP(A70,[1]PIVOT!$B$4:$C$400,2,FALSE)</f>
        <v/>
      </c>
      <c r="N70" s="19" t="n"/>
      <c r="Q70" s="20">
        <f>LEN(F70)</f>
        <v/>
      </c>
      <c r="W70" s="20">
        <f>LEN(G70)</f>
        <v/>
      </c>
    </row>
    <row r="71" ht="27" customHeight="1">
      <c r="A71" s="9" t="inlineStr">
        <is>
          <t>063/مشاغل حوفا</t>
        </is>
      </c>
      <c r="B71" s="10" t="inlineStr">
        <is>
          <t>شركة مياه اليرموك- مكتب ومشاغل حوفا</t>
        </is>
      </c>
      <c r="C71" s="24" t="e">
        <v>#N/A</v>
      </c>
      <c r="D71" s="11" t="inlineStr">
        <is>
          <t>35.85139899</t>
        </is>
      </c>
      <c r="E71" s="11" t="inlineStr">
        <is>
          <t>32.48918621</t>
        </is>
      </c>
      <c r="H71" s="20">
        <f>IFERROR(VLOOKUP(A71,[1]PIVOT!$B$4:$E$391,3,FALSE),"")</f>
        <v/>
      </c>
      <c r="I71" s="19">
        <f>H71/6000</f>
        <v/>
      </c>
      <c r="J71" s="19">
        <f>IFERROR(VLOOKUP(A71,[2]PIVOT!$A$4:$B$388,2,FALSE),"")</f>
        <v/>
      </c>
      <c r="K71" s="19">
        <f>J71/6000</f>
        <v/>
      </c>
      <c r="L71" s="21">
        <f>H71/J71-1</f>
        <v/>
      </c>
      <c r="M71" s="21">
        <f>VLOOKUP(A71,[1]PIVOT!$B$4:$C$400,2,FALSE)</f>
        <v/>
      </c>
      <c r="N71" s="19" t="n"/>
      <c r="Q71" s="20">
        <f>LEN(F71)</f>
        <v/>
      </c>
      <c r="W71" s="20">
        <f>LEN(G71)</f>
        <v/>
      </c>
    </row>
    <row r="72" ht="27" customHeight="1">
      <c r="A72" s="9" t="inlineStr">
        <is>
          <t>064/مكتب بني عبيد</t>
        </is>
      </c>
      <c r="B72" s="10" t="inlineStr">
        <is>
          <t>شركة مياه اليرموك- مديرية مياه بني عبيد</t>
        </is>
      </c>
      <c r="C72" s="23" t="inlineStr">
        <is>
          <t>Bani Obaid ROU Office</t>
        </is>
      </c>
      <c r="D72" s="11" t="inlineStr">
        <is>
          <t>35.88204476</t>
        </is>
      </c>
      <c r="E72" s="11" t="inlineStr">
        <is>
          <t>32.48331497</t>
        </is>
      </c>
      <c r="H72" s="20">
        <f>IFERROR(VLOOKUP(A72,[1]PIVOT!$B$4:$E$391,3,FALSE),"")</f>
        <v/>
      </c>
      <c r="I72" s="19">
        <f>H72/6000</f>
        <v/>
      </c>
      <c r="J72" s="19">
        <f>IFERROR(VLOOKUP(A72,[2]PIVOT!$A$4:$B$388,2,FALSE),"")</f>
        <v/>
      </c>
      <c r="K72" s="19">
        <f>J72/6000</f>
        <v/>
      </c>
      <c r="L72" s="21">
        <f>H72/J72-1</f>
        <v/>
      </c>
      <c r="M72" s="21">
        <f>VLOOKUP(A72,[1]PIVOT!$B$4:$C$400,2,FALSE)</f>
        <v/>
      </c>
      <c r="N72" s="19" t="n"/>
      <c r="Q72" s="20">
        <f>LEN(F72)</f>
        <v/>
      </c>
      <c r="W72" s="20">
        <f>LEN(G72)</f>
        <v/>
      </c>
    </row>
    <row r="73" ht="27" customHeight="1">
      <c r="A73" s="9" t="inlineStr">
        <is>
          <t>065/محطة الحصن</t>
        </is>
      </c>
      <c r="B73" s="10" t="inlineStr">
        <is>
          <t>محطة ضخ مياه الحصن</t>
        </is>
      </c>
      <c r="C73" s="23" t="inlineStr">
        <is>
          <t>Hoson PS</t>
        </is>
      </c>
      <c r="D73" s="11" t="inlineStr">
        <is>
          <t>35.8912</t>
        </is>
      </c>
      <c r="E73" s="11" t="inlineStr">
        <is>
          <t>32.4727</t>
        </is>
      </c>
      <c r="H73" s="20">
        <f>IFERROR(VLOOKUP(A73,[1]PIVOT!$B$4:$E$391,3,FALSE),"")</f>
        <v/>
      </c>
      <c r="I73" s="19">
        <f>H73/6000</f>
        <v/>
      </c>
      <c r="J73" s="19">
        <f>IFERROR(VLOOKUP(A73,[2]PIVOT!$A$4:$B$388,2,FALSE),"")</f>
        <v/>
      </c>
      <c r="K73" s="19">
        <f>J73/6000</f>
        <v/>
      </c>
      <c r="L73" s="21">
        <f>H73/J73-1</f>
        <v/>
      </c>
      <c r="M73" s="21">
        <f>VLOOKUP(A73,[1]PIVOT!$B$4:$C$400,2,FALSE)</f>
        <v/>
      </c>
      <c r="N73" s="19" t="n"/>
      <c r="Q73" s="20">
        <f>LEN(F73)</f>
        <v/>
      </c>
      <c r="W73" s="20">
        <f>LEN(G73)</f>
        <v/>
      </c>
    </row>
    <row r="74" ht="27" customHeight="1">
      <c r="A74" s="9" t="inlineStr">
        <is>
          <t>066/محطة رفع وادي حسان</t>
        </is>
      </c>
      <c r="B74" s="10" t="inlineStr">
        <is>
          <t>محطة رفع صرف صحي وادي حسان</t>
        </is>
      </c>
      <c r="C74" s="23" t="inlineStr">
        <is>
          <t>Wadi Hassan Sewage LS</t>
        </is>
      </c>
      <c r="D74" s="12" t="inlineStr">
        <is>
          <t>35.930711</t>
        </is>
      </c>
      <c r="E74" s="12" t="inlineStr">
        <is>
          <t>32.445525</t>
        </is>
      </c>
      <c r="H74" s="20">
        <f>IFERROR(VLOOKUP(A74,[1]PIVOT!$B$4:$E$391,3,FALSE),"")</f>
        <v/>
      </c>
      <c r="I74" s="19">
        <f>H74/6000</f>
        <v/>
      </c>
      <c r="J74" s="19">
        <f>IFERROR(VLOOKUP(A74,[2]PIVOT!$A$4:$B$388,2,FALSE),"")</f>
        <v/>
      </c>
      <c r="K74" s="19">
        <f>J74/6000</f>
        <v/>
      </c>
      <c r="L74" s="21">
        <f>H74/J74-1</f>
        <v/>
      </c>
      <c r="M74" s="21">
        <f>VLOOKUP(A74,[1]PIVOT!$B$4:$C$400,2,FALSE)</f>
        <v/>
      </c>
      <c r="N74" s="19" t="n"/>
      <c r="Q74" s="20">
        <f>LEN(F74)</f>
        <v/>
      </c>
      <c r="W74" s="20">
        <f>LEN(G74)</f>
        <v/>
      </c>
    </row>
    <row r="75" ht="27" customHeight="1">
      <c r="A75" s="9" t="inlineStr">
        <is>
          <t>067/محطة صمد</t>
        </is>
      </c>
      <c r="B75" s="10" t="inlineStr">
        <is>
          <t>محطة ضخ مياه صمد</t>
        </is>
      </c>
      <c r="C75" s="23" t="inlineStr">
        <is>
          <t>Samad PS</t>
        </is>
      </c>
      <c r="D75" s="12" t="inlineStr">
        <is>
          <t>35.835129</t>
        </is>
      </c>
      <c r="E75" s="12" t="inlineStr">
        <is>
          <t>32.435009</t>
        </is>
      </c>
      <c r="F75" s="20" t="n"/>
      <c r="G75" s="20" t="n"/>
      <c r="H75" s="20">
        <f>IFERROR(VLOOKUP(A75,[1]PIVOT!$B$4:$E$391,3,FALSE),"")</f>
        <v/>
      </c>
      <c r="I75" s="19">
        <f>H75/6000</f>
        <v/>
      </c>
      <c r="J75" s="19">
        <f>IFERROR(VLOOKUP(A75,[2]PIVOT!$A$4:$B$388,2,FALSE),"")</f>
        <v/>
      </c>
      <c r="K75" s="19">
        <f>J75/6000</f>
        <v/>
      </c>
      <c r="L75" s="21">
        <f>H75/J75-1</f>
        <v/>
      </c>
      <c r="M75" s="21">
        <f>VLOOKUP(A75,[1]PIVOT!$B$4:$C$400,2,FALSE)</f>
        <v/>
      </c>
      <c r="N75" s="19" t="n"/>
      <c r="Q75" s="20">
        <f>LEN(F75)</f>
        <v/>
      </c>
      <c r="W75" s="20">
        <f>LEN(G75)</f>
        <v/>
      </c>
    </row>
    <row r="76" ht="27" customHeight="1">
      <c r="A76" s="9" t="inlineStr">
        <is>
          <t>068/محطة تنقية وادي حسان</t>
        </is>
      </c>
      <c r="B76" s="10" t="inlineStr">
        <is>
          <t>محطة تنقية صرف صحي وادي حسان</t>
        </is>
      </c>
      <c r="C76" s="23" t="inlineStr">
        <is>
          <t>Wadi Hassan WWTP</t>
        </is>
      </c>
      <c r="D76" s="12" t="inlineStr">
        <is>
          <t>35.963877</t>
        </is>
      </c>
      <c r="E76" s="12" t="inlineStr">
        <is>
          <t>32.425378</t>
        </is>
      </c>
      <c r="H76" s="20">
        <f>IFERROR(VLOOKUP(A76,[1]PIVOT!$B$4:$E$391,3,FALSE),"")</f>
        <v/>
      </c>
      <c r="I76" s="19">
        <f>H76/6000</f>
        <v/>
      </c>
      <c r="J76" s="19">
        <f>IFERROR(VLOOKUP(A76,[2]PIVOT!$A$4:$B$388,2,FALSE),"")</f>
        <v/>
      </c>
      <c r="K76" s="19">
        <f>J76/6000</f>
        <v/>
      </c>
      <c r="L76" s="21">
        <f>H76/J76-1</f>
        <v/>
      </c>
      <c r="M76" s="21">
        <f>VLOOKUP(A76,[1]PIVOT!$B$4:$C$400,2,FALSE)</f>
        <v/>
      </c>
      <c r="N76" s="19" t="n"/>
      <c r="Q76" s="20">
        <f>LEN(F76)</f>
        <v/>
      </c>
      <c r="W76" s="20">
        <f>LEN(G76)</f>
        <v/>
      </c>
    </row>
    <row r="77" ht="27" customHeight="1">
      <c r="A77" s="9" t="inlineStr">
        <is>
          <t>069/محطة النعيمه رقم 2</t>
        </is>
      </c>
      <c r="B77" s="10" t="inlineStr">
        <is>
          <t>بئر النعيمه (2)</t>
        </is>
      </c>
      <c r="C77" s="23" t="inlineStr">
        <is>
          <t>No'aymeh Well 3</t>
        </is>
      </c>
      <c r="D77" s="11" t="inlineStr">
        <is>
          <t>35.913</t>
        </is>
      </c>
      <c r="E77" s="11" t="inlineStr">
        <is>
          <t>32.4217</t>
        </is>
      </c>
      <c r="H77" s="20">
        <f>IFERROR(VLOOKUP(A77,[1]PIVOT!$B$4:$E$391,3,FALSE),"")</f>
        <v/>
      </c>
      <c r="I77" s="19">
        <f>H77/6000</f>
        <v/>
      </c>
      <c r="J77" s="19">
        <f>IFERROR(VLOOKUP(A77,[2]PIVOT!$A$4:$B$388,2,FALSE),"")</f>
        <v/>
      </c>
      <c r="K77" s="19">
        <f>J77/6000</f>
        <v/>
      </c>
      <c r="L77" s="21">
        <f>H77/J77-1</f>
        <v/>
      </c>
      <c r="M77" s="21">
        <f>VLOOKUP(A77,[1]PIVOT!$B$4:$C$400,2,FALSE)</f>
        <v/>
      </c>
      <c r="N77" s="19" t="n"/>
      <c r="Q77" s="20">
        <f>LEN(F77)</f>
        <v/>
      </c>
      <c r="W77" s="20">
        <f>LEN(G77)</f>
        <v/>
      </c>
    </row>
    <row r="78" ht="27" customHeight="1">
      <c r="A78" s="9" t="inlineStr">
        <is>
          <t>070/محطة النعيمه رقم 1</t>
        </is>
      </c>
      <c r="B78" s="10" t="inlineStr">
        <is>
          <t xml:space="preserve">بئر ومحطة ضخ مياه النعيمة (1)+ بئر (1أ) </t>
        </is>
      </c>
      <c r="C78" s="23" t="inlineStr">
        <is>
          <t>No'aymeh PS 1</t>
        </is>
      </c>
      <c r="D78" s="11" t="inlineStr">
        <is>
          <t>35.9067</t>
        </is>
      </c>
      <c r="E78" s="11" t="inlineStr">
        <is>
          <t>32.4236</t>
        </is>
      </c>
      <c r="H78" s="20">
        <f>IFERROR(VLOOKUP(A78,[1]PIVOT!$B$4:$E$391,3,FALSE),"")</f>
        <v/>
      </c>
      <c r="I78" s="19">
        <f>H78/6000</f>
        <v/>
      </c>
      <c r="J78" s="19">
        <f>IFERROR(VLOOKUP(A78,[2]PIVOT!$A$4:$B$388,2,FALSE),"")</f>
        <v/>
      </c>
      <c r="K78" s="19">
        <f>J78/6000</f>
        <v/>
      </c>
      <c r="L78" s="21">
        <f>H78/J78-1</f>
        <v/>
      </c>
      <c r="M78" s="21">
        <f>VLOOKUP(A78,[1]PIVOT!$B$4:$C$400,2,FALSE)</f>
        <v/>
      </c>
      <c r="N78" s="19" t="n"/>
      <c r="Q78" s="20">
        <f>LEN(F78)</f>
        <v/>
      </c>
      <c r="W78" s="20">
        <f>LEN(G78)</f>
        <v/>
      </c>
    </row>
    <row r="79" ht="27" customHeight="1">
      <c r="A79" s="9" t="inlineStr">
        <is>
          <t>071/بئر النعيمه رقم 2</t>
        </is>
      </c>
      <c r="B79" s="10" t="inlineStr">
        <is>
          <t>بئر النعيمه (3)</t>
        </is>
      </c>
      <c r="C79" s="23" t="inlineStr">
        <is>
          <t>No'aymeh PS 2</t>
        </is>
      </c>
      <c r="D79" s="12" t="inlineStr">
        <is>
          <t>35.928763</t>
        </is>
      </c>
      <c r="E79" s="12" t="inlineStr">
        <is>
          <t>32.424347</t>
        </is>
      </c>
      <c r="H79" s="20">
        <f>IFERROR(VLOOKUP(A79,[1]PIVOT!$B$4:$E$391,3,FALSE),"")</f>
        <v/>
      </c>
      <c r="I79" s="19">
        <f>H79/6000</f>
        <v/>
      </c>
      <c r="J79" s="19">
        <f>IFERROR(VLOOKUP(A79,[2]PIVOT!$A$4:$B$388,2,FALSE),"")</f>
        <v/>
      </c>
      <c r="K79" s="19">
        <f>J79/6000</f>
        <v/>
      </c>
      <c r="L79" s="21">
        <f>H79/J79-1</f>
        <v/>
      </c>
      <c r="M79" s="21">
        <f>VLOOKUP(A79,[1]PIVOT!$B$4:$C$400,2,FALSE)</f>
        <v/>
      </c>
      <c r="N79" s="19" t="n"/>
      <c r="Q79" s="20">
        <f>LEN(F79)</f>
        <v/>
      </c>
      <c r="W79" s="20">
        <f>LEN(G79)</f>
        <v/>
      </c>
    </row>
    <row r="80" ht="27" customHeight="1">
      <c r="A80" s="9" t="inlineStr">
        <is>
          <t>073/بوستر سموع</t>
        </is>
      </c>
      <c r="B80" s="10" t="inlineStr">
        <is>
          <t>محطة ضخ مياه بوستر سموع</t>
        </is>
      </c>
      <c r="C80" s="23" t="inlineStr">
        <is>
          <t>Samou Booster</t>
        </is>
      </c>
      <c r="D80" s="11" t="inlineStr">
        <is>
          <t>35.73690004</t>
        </is>
      </c>
      <c r="E80" s="11" t="inlineStr">
        <is>
          <t>32.51839057</t>
        </is>
      </c>
      <c r="H80" s="20">
        <f>IFERROR(VLOOKUP(A80,[1]PIVOT!$B$4:$E$391,3,FALSE),"")</f>
        <v/>
      </c>
      <c r="I80" s="19">
        <f>H80/6000</f>
        <v/>
      </c>
      <c r="J80" s="19">
        <f>IFERROR(VLOOKUP(A80,[2]PIVOT!$A$4:$B$388,2,FALSE),"")</f>
        <v/>
      </c>
      <c r="K80" s="19">
        <f>J80/6000</f>
        <v/>
      </c>
      <c r="L80" s="21">
        <f>H80/J80-1</f>
        <v/>
      </c>
      <c r="M80" s="21">
        <f>VLOOKUP(A80,[1]PIVOT!$B$4:$C$400,2,FALSE)</f>
        <v/>
      </c>
      <c r="N80" s="19" t="n"/>
      <c r="Q80" s="20">
        <f>LEN(F80)</f>
        <v/>
      </c>
      <c r="W80" s="20">
        <f>LEN(G80)</f>
        <v/>
      </c>
    </row>
    <row r="81" ht="27" customHeight="1">
      <c r="A81" s="9" t="inlineStr">
        <is>
          <t>075/محطة عيون الحمام 1</t>
        </is>
      </c>
      <c r="B81" s="10" t="inlineStr">
        <is>
          <t>بئر عيون الحمام (2)</t>
        </is>
      </c>
      <c r="C81" s="30" t="inlineStr">
        <is>
          <t>Oyoon Al Hammam Well 2 , Oyoon Al Hammam PS</t>
        </is>
      </c>
      <c r="D81" s="12" t="inlineStr">
        <is>
          <t>35.69586279</t>
        </is>
      </c>
      <c r="E81" s="12" t="inlineStr">
        <is>
          <t>32.51070751</t>
        </is>
      </c>
      <c r="H81" s="20">
        <f>IFERROR(VLOOKUP(A81,[1]PIVOT!$B$4:$E$391,3,FALSE),"")</f>
        <v/>
      </c>
      <c r="I81" s="19">
        <f>H81/6000</f>
        <v/>
      </c>
      <c r="J81" s="19">
        <f>IFERROR(VLOOKUP(A81,[2]PIVOT!$A$4:$B$388,2,FALSE),"")</f>
        <v/>
      </c>
      <c r="K81" s="19">
        <f>J81/6000</f>
        <v/>
      </c>
      <c r="L81" s="21">
        <f>H81/J81-1</f>
        <v/>
      </c>
      <c r="M81" s="21">
        <f>VLOOKUP(A81,[1]PIVOT!$B$4:$C$400,2,FALSE)</f>
        <v/>
      </c>
      <c r="N81" s="19" t="n"/>
      <c r="Q81" s="20">
        <f>LEN(F81)</f>
        <v/>
      </c>
      <c r="W81" s="20">
        <f>LEN(G81)</f>
        <v/>
      </c>
    </row>
    <row r="82" ht="27" customHeight="1">
      <c r="A82" s="9" t="inlineStr">
        <is>
          <t>075/محطة عيون الحمام 3</t>
        </is>
      </c>
      <c r="B82" s="10" t="inlineStr">
        <is>
          <t>بئر عيون الحمام (1)</t>
        </is>
      </c>
      <c r="C82" s="23" t="inlineStr">
        <is>
          <t>Old Oyoon Al Hammam P S</t>
        </is>
      </c>
      <c r="D82" s="11" t="inlineStr">
        <is>
          <t>35.7018</t>
        </is>
      </c>
      <c r="E82" s="11" t="inlineStr">
        <is>
          <t>32.5075</t>
        </is>
      </c>
      <c r="H82" s="20">
        <f>IFERROR(VLOOKUP(A82,[1]PIVOT!$B$4:$E$391,3,FALSE),"")</f>
        <v/>
      </c>
      <c r="I82" s="19">
        <f>H82/6000</f>
        <v/>
      </c>
      <c r="J82" s="19">
        <f>IFERROR(VLOOKUP(A82,[2]PIVOT!$A$4:$B$388,2,FALSE),"")</f>
        <v/>
      </c>
      <c r="K82" s="19">
        <f>J82/6000</f>
        <v/>
      </c>
      <c r="L82" s="21">
        <f>H82/J82-1</f>
        <v/>
      </c>
      <c r="M82" s="21">
        <f>VLOOKUP(A82,[1]PIVOT!$B$4:$C$400,2,FALSE)</f>
        <v/>
      </c>
      <c r="N82" s="19" t="n"/>
      <c r="Q82" s="20">
        <f>LEN(F82)</f>
        <v/>
      </c>
      <c r="W82" s="20">
        <f>LEN(G82)</f>
        <v/>
      </c>
    </row>
    <row r="83" ht="27" customHeight="1">
      <c r="A83" s="9" t="inlineStr">
        <is>
          <t>078/بوستر تبنه</t>
        </is>
      </c>
      <c r="B83" s="10" t="inlineStr">
        <is>
          <t>محطة ضخ مياه بوستر تبنه</t>
        </is>
      </c>
      <c r="C83" s="23" t="inlineStr">
        <is>
          <t>Tubneh Booster</t>
        </is>
      </c>
      <c r="D83" s="12" t="inlineStr">
        <is>
          <t>35.721789</t>
        </is>
      </c>
      <c r="E83" s="12" t="inlineStr">
        <is>
          <t>32.494611</t>
        </is>
      </c>
      <c r="H83" s="20">
        <f>IFERROR(VLOOKUP(A83,[1]PIVOT!$B$4:$E$391,3,FALSE),"")</f>
        <v/>
      </c>
      <c r="I83" s="19">
        <f>H83/6000</f>
        <v/>
      </c>
      <c r="J83" s="19">
        <f>IFERROR(VLOOKUP(A83,[2]PIVOT!$A$4:$B$388,2,FALSE),"")</f>
        <v/>
      </c>
      <c r="K83" s="19">
        <f>J83/6000</f>
        <v/>
      </c>
      <c r="L83" s="21">
        <f>H83/J83-1</f>
        <v/>
      </c>
      <c r="M83" s="21">
        <f>VLOOKUP(A83,[1]PIVOT!$B$4:$C$400,2,FALSE)</f>
        <v/>
      </c>
      <c r="N83" s="19" t="n"/>
      <c r="Q83" s="20">
        <f>LEN(F83)</f>
        <v/>
      </c>
      <c r="W83" s="20">
        <f>LEN(G83)</f>
        <v/>
      </c>
    </row>
    <row r="84" ht="27" customHeight="1">
      <c r="A84" s="9" t="inlineStr">
        <is>
          <t>079/بوستر الاشرفيه</t>
        </is>
      </c>
      <c r="B84" s="10" t="inlineStr">
        <is>
          <t>محطة ضخ مياه بوستر الأشرفيه+ بئر كفرالماء (1أ)</t>
        </is>
      </c>
      <c r="C84" s="23" t="inlineStr">
        <is>
          <t>Al Ashrafiyya  Booster</t>
        </is>
      </c>
      <c r="D84" s="11" t="inlineStr">
        <is>
          <t>35.68873327</t>
        </is>
      </c>
      <c r="E84" s="11" t="inlineStr">
        <is>
          <t>32.47736321</t>
        </is>
      </c>
      <c r="H84" s="20">
        <f>IFERROR(VLOOKUP(A84,[1]PIVOT!$B$4:$E$391,3,FALSE),"")</f>
        <v/>
      </c>
      <c r="I84" s="19">
        <f>H84/6000</f>
        <v/>
      </c>
      <c r="J84" s="19">
        <f>IFERROR(VLOOKUP(A84,[2]PIVOT!$A$4:$B$388,2,FALSE),"")</f>
        <v/>
      </c>
      <c r="K84" s="19">
        <f>J84/6000</f>
        <v/>
      </c>
      <c r="L84" s="21">
        <f>H84/J84-1</f>
        <v/>
      </c>
      <c r="M84" s="21">
        <f>VLOOKUP(A84,[1]PIVOT!$B$4:$C$400,2,FALSE)</f>
        <v/>
      </c>
      <c r="N84" s="19" t="n"/>
      <c r="Q84" s="20">
        <f>LEN(F84)</f>
        <v/>
      </c>
      <c r="W84" s="20">
        <f>LEN(G84)</f>
        <v/>
      </c>
    </row>
    <row r="85" ht="27" customHeight="1">
      <c r="A85" s="9" t="inlineStr">
        <is>
          <t>082/بئر جديتا رقم 2</t>
        </is>
      </c>
      <c r="B85" s="10" t="inlineStr">
        <is>
          <t>بئر جديتا (2)</t>
        </is>
      </c>
      <c r="C85" s="24" t="e">
        <v>#N/A</v>
      </c>
      <c r="D85" s="12" t="inlineStr">
        <is>
          <t>35.680572</t>
        </is>
      </c>
      <c r="E85" s="12" t="inlineStr">
        <is>
          <t>32.412286</t>
        </is>
      </c>
      <c r="H85" s="20">
        <f>IFERROR(VLOOKUP(A85,[1]PIVOT!$B$4:$E$391,3,FALSE),"")</f>
        <v/>
      </c>
      <c r="I85" s="19">
        <f>H85/6000</f>
        <v/>
      </c>
      <c r="J85" s="19">
        <f>IFERROR(VLOOKUP(A85,[2]PIVOT!$A$4:$B$388,2,FALSE),"")</f>
        <v/>
      </c>
      <c r="K85" s="19">
        <f>J85/6000</f>
        <v/>
      </c>
      <c r="L85" s="21">
        <f>H85/J85-1</f>
        <v/>
      </c>
      <c r="M85" s="21">
        <f>VLOOKUP(A85,[1]PIVOT!$B$4:$C$400,2,FALSE)</f>
        <v/>
      </c>
      <c r="N85" s="19" t="n"/>
      <c r="Q85" s="20">
        <f>LEN(F85)</f>
        <v/>
      </c>
      <c r="W85" s="20">
        <f>LEN(G85)</f>
        <v/>
      </c>
    </row>
    <row r="86" ht="27" customHeight="1">
      <c r="A86" s="9" t="inlineStr">
        <is>
          <t>083/محطة جديتا</t>
        </is>
      </c>
      <c r="B86" s="10" t="inlineStr">
        <is>
          <t>محطة ضخ مياه جديتا+ بئر (1)</t>
        </is>
      </c>
      <c r="C86" s="30" t="inlineStr">
        <is>
          <t>Judyta PS , Judyta Well 2</t>
        </is>
      </c>
      <c r="D86" s="11" t="inlineStr">
        <is>
          <t>35.68155909</t>
        </is>
      </c>
      <c r="E86" s="11" t="inlineStr">
        <is>
          <t>32.41071243</t>
        </is>
      </c>
      <c r="F86" s="20" t="n"/>
      <c r="G86" s="20" t="n"/>
      <c r="H86" s="20">
        <f>IFERROR(VLOOKUP(A86,[1]PIVOT!$B$4:$E$391,3,FALSE),"")</f>
        <v/>
      </c>
      <c r="I86" s="19">
        <f>H86/6000</f>
        <v/>
      </c>
      <c r="J86" s="19">
        <f>IFERROR(VLOOKUP(A86,[2]PIVOT!$A$4:$B$388,2,FALSE),"")</f>
        <v/>
      </c>
      <c r="K86" s="19">
        <f>J86/6000</f>
        <v/>
      </c>
      <c r="L86" s="21">
        <f>H86/J86-1</f>
        <v/>
      </c>
      <c r="M86" s="21">
        <f>VLOOKUP(A86,[1]PIVOT!$B$4:$C$400,2,FALSE)</f>
        <v/>
      </c>
      <c r="N86" s="19" t="n"/>
      <c r="Q86" s="20">
        <f>LEN(F86)</f>
        <v/>
      </c>
      <c r="W86" s="20">
        <f>LEN(G86)</f>
        <v/>
      </c>
    </row>
    <row r="87" ht="27" customHeight="1">
      <c r="A87" s="9" t="inlineStr">
        <is>
          <t>089/محطة تنقية الرمثا</t>
        </is>
      </c>
      <c r="B87" s="10" t="inlineStr">
        <is>
          <t>محطة تنقية صرف صحي الرمثا</t>
        </is>
      </c>
      <c r="C87" s="23" t="inlineStr">
        <is>
          <t>Ramtha WWTP</t>
        </is>
      </c>
      <c r="D87" s="12" t="inlineStr">
        <is>
          <t>35.989164</t>
        </is>
      </c>
      <c r="E87" s="12" t="inlineStr">
        <is>
          <t>32.593104</t>
        </is>
      </c>
      <c r="F87" s="20" t="n"/>
      <c r="G87" s="20" t="n"/>
      <c r="H87" s="20">
        <f>IFERROR(VLOOKUP(A87,[1]PIVOT!$B$4:$E$391,3,FALSE),"")</f>
        <v/>
      </c>
      <c r="I87" s="19">
        <f>H87/6000</f>
        <v/>
      </c>
      <c r="J87" s="19">
        <f>IFERROR(VLOOKUP(A87,[2]PIVOT!$A$4:$B$388,2,FALSE),"")</f>
        <v/>
      </c>
      <c r="K87" s="19">
        <f>J87/6000</f>
        <v/>
      </c>
      <c r="L87" s="21">
        <f>H87/J87-1</f>
        <v/>
      </c>
      <c r="M87" s="21">
        <f>VLOOKUP(A87,[1]PIVOT!$B$4:$C$400,2,FALSE)</f>
        <v/>
      </c>
      <c r="N87" s="19" t="n"/>
      <c r="Q87" s="20">
        <f>LEN(F87)</f>
        <v/>
      </c>
      <c r="W87" s="20">
        <f>LEN(G87)</f>
        <v/>
      </c>
    </row>
    <row r="88" ht="27" customHeight="1">
      <c r="A88" s="9" t="inlineStr">
        <is>
          <t>090/محطة المحاسي</t>
        </is>
      </c>
      <c r="B88" s="10" t="inlineStr">
        <is>
          <t xml:space="preserve"> محطة ضخ مياه المحاسي+ بئر (5)&amp;(6)</t>
        </is>
      </c>
      <c r="C88" s="23" t="inlineStr">
        <is>
          <t>Mahasi PS &amp; Well 5-6</t>
        </is>
      </c>
      <c r="D88" s="11" t="inlineStr">
        <is>
          <t>35.99429434</t>
        </is>
      </c>
      <c r="E88" s="11" t="inlineStr">
        <is>
          <t>32.58600696</t>
        </is>
      </c>
      <c r="H88" s="20">
        <f>IFERROR(VLOOKUP(A88,[1]PIVOT!$B$4:$E$391,3,FALSE),"")</f>
        <v/>
      </c>
      <c r="I88" s="19">
        <f>H88/6000</f>
        <v/>
      </c>
      <c r="J88" s="19">
        <f>IFERROR(VLOOKUP(A88,[2]PIVOT!$A$4:$B$388,2,FALSE),"")</f>
        <v/>
      </c>
      <c r="K88" s="19">
        <f>J88/6000</f>
        <v/>
      </c>
      <c r="L88" s="21">
        <f>H88/J88-1</f>
        <v/>
      </c>
      <c r="M88" s="21">
        <f>VLOOKUP(A88,[1]PIVOT!$B$4:$C$400,2,FALSE)</f>
        <v/>
      </c>
      <c r="N88" s="19" t="n"/>
      <c r="Q88" s="20">
        <f>LEN(F88)</f>
        <v/>
      </c>
      <c r="W88" s="20">
        <f>LEN(G88)</f>
        <v/>
      </c>
    </row>
    <row r="89" ht="27" customHeight="1">
      <c r="A89" s="9" t="inlineStr">
        <is>
          <t>093/محطة الحدود</t>
        </is>
      </c>
      <c r="B89" s="10" t="inlineStr">
        <is>
          <t>محطة ضخ مياه الحدود</t>
        </is>
      </c>
      <c r="C89" s="23" t="inlineStr">
        <is>
          <t>AL Hodoud PS &amp; Well &amp; Re.</t>
        </is>
      </c>
      <c r="D89" s="11" t="inlineStr">
        <is>
          <t>36.03659704</t>
        </is>
      </c>
      <c r="E89" s="11" t="inlineStr">
        <is>
          <t>32.5704953</t>
        </is>
      </c>
      <c r="H89" s="20">
        <f>IFERROR(VLOOKUP(A89,[1]PIVOT!$B$4:$E$391,3,FALSE),"")</f>
        <v/>
      </c>
      <c r="I89" s="19">
        <f>H89/6000</f>
        <v/>
      </c>
      <c r="J89" s="19">
        <f>IFERROR(VLOOKUP(A89,[2]PIVOT!$A$4:$B$388,2,FALSE),"")</f>
        <v/>
      </c>
      <c r="K89" s="19">
        <f>J89/6000</f>
        <v/>
      </c>
      <c r="L89" s="21">
        <f>H89/J89-1</f>
        <v/>
      </c>
      <c r="M89" s="21">
        <f>VLOOKUP(A89,[1]PIVOT!$B$4:$C$400,2,FALSE)</f>
        <v/>
      </c>
      <c r="N89" s="19" t="n"/>
      <c r="Q89" s="20">
        <f>LEN(F89)</f>
        <v/>
      </c>
      <c r="W89" s="20">
        <f>LEN(G89)</f>
        <v/>
      </c>
    </row>
    <row r="90" ht="27" customHeight="1">
      <c r="A90" s="9" t="inlineStr">
        <is>
          <t>096/بئر جابر رقم 4</t>
        </is>
      </c>
      <c r="B90" s="10" t="inlineStr">
        <is>
          <t>بئر جابر (4)</t>
        </is>
      </c>
      <c r="C90" s="23" t="inlineStr">
        <is>
          <t>Jaber Well 4</t>
        </is>
      </c>
      <c r="D90" s="12" t="inlineStr">
        <is>
          <t>36.055801</t>
        </is>
      </c>
      <c r="E90" s="12" t="inlineStr">
        <is>
          <t>32.551472</t>
        </is>
      </c>
      <c r="H90" s="20">
        <f>IFERROR(VLOOKUP(A90,[1]PIVOT!$B$4:$E$391,3,FALSE),"")</f>
        <v/>
      </c>
      <c r="I90" s="19">
        <f>H90/6000</f>
        <v/>
      </c>
      <c r="J90" s="19">
        <f>IFERROR(VLOOKUP(A90,[2]PIVOT!$A$4:$B$388,2,FALSE),"")</f>
        <v/>
      </c>
      <c r="K90" s="19">
        <f>J90/6000</f>
        <v/>
      </c>
      <c r="L90" s="21">
        <f>H90/J90-1</f>
        <v/>
      </c>
      <c r="M90" s="21">
        <f>VLOOKUP(A90,[1]PIVOT!$B$4:$C$400,2,FALSE)</f>
        <v/>
      </c>
      <c r="N90" s="19" t="n"/>
      <c r="Q90" s="20">
        <f>LEN(F90)</f>
        <v/>
      </c>
      <c r="W90" s="20">
        <f>LEN(G90)</f>
        <v/>
      </c>
    </row>
    <row r="91" ht="27" customHeight="1">
      <c r="A91" s="9" t="inlineStr">
        <is>
          <t>099/بئر جابر رقم 2</t>
        </is>
      </c>
      <c r="B91" s="10" t="inlineStr">
        <is>
          <t>بئر جابر (2)</t>
        </is>
      </c>
      <c r="C91" s="23" t="inlineStr">
        <is>
          <t>Jaber Well 2</t>
        </is>
      </c>
      <c r="D91" s="11" t="inlineStr">
        <is>
          <t>36.06460568</t>
        </is>
      </c>
      <c r="E91" s="11" t="inlineStr">
        <is>
          <t>32.53465123</t>
        </is>
      </c>
      <c r="H91" s="20">
        <f>IFERROR(VLOOKUP(A91,[1]PIVOT!$B$4:$E$391,3,FALSE),"")</f>
        <v/>
      </c>
      <c r="I91" s="19">
        <f>H91/6000</f>
        <v/>
      </c>
      <c r="J91" s="19">
        <f>IFERROR(VLOOKUP(A91,[2]PIVOT!$A$4:$B$388,2,FALSE),"")</f>
        <v/>
      </c>
      <c r="K91" s="19">
        <f>J91/6000</f>
        <v/>
      </c>
      <c r="L91" s="21">
        <f>H91/J91-1</f>
        <v/>
      </c>
      <c r="M91" s="21">
        <f>VLOOKUP(A91,[1]PIVOT!$B$4:$C$400,2,FALSE)</f>
        <v/>
      </c>
      <c r="N91" s="19" t="n"/>
      <c r="Q91" s="20">
        <f>LEN(F91)</f>
        <v/>
      </c>
      <c r="W91" s="20">
        <f>LEN(G91)</f>
        <v/>
      </c>
    </row>
    <row r="92" ht="27" customHeight="1">
      <c r="A92" s="9" t="inlineStr">
        <is>
          <t>1/مشروع مياه الصريح</t>
        </is>
      </c>
      <c r="B92" s="10" t="inlineStr">
        <is>
          <t>1/مشروع مياه الصريح</t>
        </is>
      </c>
      <c r="C92" s="24" t="e">
        <v>#N/A</v>
      </c>
      <c r="D92" s="11" t="inlineStr">
        <is>
          <t>35.8863</t>
        </is>
      </c>
      <c r="E92" s="11" t="inlineStr">
        <is>
          <t>32.5158</t>
        </is>
      </c>
      <c r="H92" s="20">
        <f>IFERROR(VLOOKUP(A92,[1]PIVOT!$B$4:$E$391,3,FALSE),"")</f>
        <v/>
      </c>
      <c r="I92" s="19">
        <f>H92/6000</f>
        <v/>
      </c>
      <c r="J92" s="19">
        <f>IFERROR(VLOOKUP(A92,[2]PIVOT!$A$4:$B$388,2,FALSE),"")</f>
        <v/>
      </c>
      <c r="K92" s="19">
        <f>J92/6000</f>
        <v/>
      </c>
      <c r="L92" s="21">
        <f>H92/J92-1</f>
        <v/>
      </c>
      <c r="M92" s="21">
        <f>VLOOKUP(A92,[1]PIVOT!$B$4:$C$400,2,FALSE)</f>
        <v/>
      </c>
      <c r="N92" s="19" t="n"/>
      <c r="Q92" s="20">
        <f>LEN(F92)</f>
        <v/>
      </c>
      <c r="W92" s="20">
        <f>LEN(G92)</f>
        <v/>
      </c>
    </row>
    <row r="93" ht="27" customHeight="1">
      <c r="A93" s="9" t="inlineStr">
        <is>
          <t>100/بئر جابر رقم 6</t>
        </is>
      </c>
      <c r="B93" s="10" t="inlineStr">
        <is>
          <t>بئر جابر (6)</t>
        </is>
      </c>
      <c r="C93" s="23" t="inlineStr">
        <is>
          <t>Jaber Well 6</t>
        </is>
      </c>
      <c r="D93" s="11" t="inlineStr">
        <is>
          <t>36.06515195</t>
        </is>
      </c>
      <c r="E93" s="11" t="inlineStr">
        <is>
          <t>32.52021629</t>
        </is>
      </c>
      <c r="H93" s="20">
        <f>IFERROR(VLOOKUP(A93,[1]PIVOT!$B$4:$E$391,3,FALSE),"")</f>
        <v/>
      </c>
      <c r="I93" s="19">
        <f>H93/6000</f>
        <v/>
      </c>
      <c r="J93" s="19">
        <f>IFERROR(VLOOKUP(A93,[2]PIVOT!$A$4:$B$388,2,FALSE),"")</f>
        <v/>
      </c>
      <c r="K93" s="19">
        <f>J93/6000</f>
        <v/>
      </c>
      <c r="L93" s="21">
        <f>H93/J93-1</f>
        <v/>
      </c>
      <c r="M93" s="21">
        <f>VLOOKUP(A93,[1]PIVOT!$B$4:$C$400,2,FALSE)</f>
        <v/>
      </c>
      <c r="N93" s="19" t="n"/>
      <c r="Q93" s="20">
        <f>LEN(F93)</f>
        <v/>
      </c>
      <c r="W93" s="20">
        <f>LEN(G93)</f>
        <v/>
      </c>
    </row>
    <row r="94" ht="27" customHeight="1">
      <c r="A94" s="9" t="inlineStr">
        <is>
          <t>101/محطة جابر</t>
        </is>
      </c>
      <c r="B94" s="10" t="inlineStr">
        <is>
          <t>بئر جابر (1أ)</t>
        </is>
      </c>
      <c r="C94" s="24" t="e">
        <v>#N/A</v>
      </c>
      <c r="D94" s="12" t="inlineStr">
        <is>
          <t>36.057533</t>
        </is>
      </c>
      <c r="E94" s="12" t="inlineStr">
        <is>
          <t>32.536324</t>
        </is>
      </c>
      <c r="H94" s="20">
        <f>IFERROR(VLOOKUP(A94,[1]PIVOT!$B$4:$E$391,3,FALSE),"")</f>
        <v/>
      </c>
      <c r="I94" s="19">
        <f>H94/6000</f>
        <v/>
      </c>
      <c r="J94" s="19">
        <f>IFERROR(VLOOKUP(A94,[2]PIVOT!$A$4:$B$388,2,FALSE),"")</f>
        <v/>
      </c>
      <c r="K94" s="19">
        <f>J94/6000</f>
        <v/>
      </c>
      <c r="L94" s="21">
        <f>H94/J94-1</f>
        <v/>
      </c>
      <c r="M94" s="21">
        <f>VLOOKUP(A94,[1]PIVOT!$B$4:$C$400,2,FALSE)</f>
        <v/>
      </c>
      <c r="N94" s="19" t="n"/>
      <c r="Q94" s="20">
        <f>LEN(F94)</f>
        <v/>
      </c>
      <c r="W94" s="20">
        <f>LEN(G94)</f>
        <v/>
      </c>
    </row>
    <row r="95" ht="27" customHeight="1">
      <c r="A95" s="9" t="inlineStr">
        <is>
          <t>104/محطة نبعة عين التنور</t>
        </is>
      </c>
      <c r="B95" s="10" t="inlineStr">
        <is>
          <t>محطة ضخ مياه ونبع عين التنور</t>
        </is>
      </c>
      <c r="C95" s="23" t="inlineStr">
        <is>
          <t>Abu Al Hawa/ Urjan Store</t>
        </is>
      </c>
      <c r="D95" s="11" t="inlineStr">
        <is>
          <t>35.74299525</t>
        </is>
      </c>
      <c r="E95" s="11" t="inlineStr">
        <is>
          <t>32.40521994</t>
        </is>
      </c>
      <c r="H95" s="20">
        <f>IFERROR(VLOOKUP(A95,[1]PIVOT!$B$4:$E$391,3,FALSE),"")</f>
        <v/>
      </c>
      <c r="I95" s="19">
        <f>H95/6000</f>
        <v/>
      </c>
      <c r="J95" s="19">
        <f>IFERROR(VLOOKUP(A95,[2]PIVOT!$A$4:$B$388,2,FALSE),"")</f>
        <v/>
      </c>
      <c r="K95" s="19">
        <f>J95/6000</f>
        <v/>
      </c>
      <c r="L95" s="21">
        <f>H95/J95-1</f>
        <v/>
      </c>
      <c r="M95" s="21">
        <f>VLOOKUP(A95,[1]PIVOT!$B$4:$C$400,2,FALSE)</f>
        <v/>
      </c>
      <c r="N95" s="19" t="n"/>
      <c r="Q95" s="20">
        <f>LEN(F95)</f>
        <v/>
      </c>
      <c r="W95" s="20">
        <f>LEN(G95)</f>
        <v/>
      </c>
    </row>
    <row r="96" ht="27" customHeight="1">
      <c r="A96" s="9" t="inlineStr">
        <is>
          <t>106/بئر زقيق رقم 2</t>
        </is>
      </c>
      <c r="B96" s="10" t="inlineStr">
        <is>
          <t>بئر زقيق (2)- حلاوة (2)</t>
        </is>
      </c>
      <c r="C96" s="23" t="inlineStr">
        <is>
          <t>Halawa (Zuqaq 2)  PS</t>
        </is>
      </c>
      <c r="D96" s="11" t="inlineStr">
        <is>
          <t>35.63821774</t>
        </is>
      </c>
      <c r="E96" s="11" t="inlineStr">
        <is>
          <t>32.38370255</t>
        </is>
      </c>
      <c r="H96" s="20">
        <f>IFERROR(VLOOKUP(A96,[1]PIVOT!$B$4:$E$391,3,FALSE),"")</f>
        <v/>
      </c>
      <c r="I96" s="19">
        <f>H96/6000</f>
        <v/>
      </c>
      <c r="J96" s="19">
        <f>IFERROR(VLOOKUP(A96,[2]PIVOT!$A$4:$B$388,2,FALSE),"")</f>
        <v/>
      </c>
      <c r="K96" s="19">
        <f>J96/6000</f>
        <v/>
      </c>
      <c r="L96" s="21">
        <f>H96/J96-1</f>
        <v/>
      </c>
      <c r="M96" s="21">
        <f>VLOOKUP(A96,[1]PIVOT!$B$4:$C$400,2,FALSE)</f>
        <v/>
      </c>
      <c r="N96" s="19" t="n"/>
      <c r="Q96" s="20">
        <f>LEN(F96)</f>
        <v/>
      </c>
      <c r="W96" s="20">
        <f>LEN(G96)</f>
        <v/>
      </c>
    </row>
    <row r="97" ht="27" customHeight="1">
      <c r="A97" s="9" t="inlineStr">
        <is>
          <t>110/محطة زقيق 2</t>
        </is>
      </c>
      <c r="B97" s="10" t="inlineStr">
        <is>
          <t>محطة ضخ مياه زقيق (2)</t>
        </is>
      </c>
      <c r="C97" s="23" t="inlineStr">
        <is>
          <t>Zuqaq PS 2</t>
        </is>
      </c>
      <c r="D97" s="11" t="inlineStr">
        <is>
          <t>35.65071806</t>
        </is>
      </c>
      <c r="E97" s="11" t="inlineStr">
        <is>
          <t>32.38428383</t>
        </is>
      </c>
      <c r="H97" s="20">
        <f>IFERROR(VLOOKUP(A97,[1]PIVOT!$B$4:$E$391,3,FALSE),"")</f>
        <v/>
      </c>
      <c r="I97" s="19">
        <f>H97/6000</f>
        <v/>
      </c>
      <c r="J97" s="19">
        <f>IFERROR(VLOOKUP(A97,[2]PIVOT!$A$4:$B$388,2,FALSE),"")</f>
        <v/>
      </c>
      <c r="K97" s="19">
        <f>J97/6000</f>
        <v/>
      </c>
      <c r="L97" s="21">
        <f>H97/J97-1</f>
        <v/>
      </c>
      <c r="M97" s="21">
        <f>VLOOKUP(A97,[1]PIVOT!$B$4:$C$400,2,FALSE)</f>
        <v/>
      </c>
      <c r="N97" s="19" t="n"/>
      <c r="Q97" s="20">
        <f>LEN(F97)</f>
        <v/>
      </c>
      <c r="W97" s="20">
        <f>LEN(G97)</f>
        <v/>
      </c>
    </row>
    <row r="98" ht="27" customHeight="1">
      <c r="A98" s="9" t="inlineStr">
        <is>
          <t>111/محطة زقيق رقم 1</t>
        </is>
      </c>
      <c r="B98" s="10" t="inlineStr">
        <is>
          <t>محطة ضخ مياه زقيق (1)// النبعة</t>
        </is>
      </c>
      <c r="C98" s="24" t="e">
        <v>#N/A</v>
      </c>
      <c r="D98" s="11" t="inlineStr">
        <is>
          <t>35.8553</t>
        </is>
      </c>
      <c r="E98" s="11" t="inlineStr">
        <is>
          <t>32.5646</t>
        </is>
      </c>
      <c r="H98" s="20">
        <f>IFERROR(VLOOKUP(A98,[1]PIVOT!$B$4:$E$391,3,FALSE),"")</f>
        <v/>
      </c>
      <c r="I98" s="19">
        <f>H98/6000</f>
        <v/>
      </c>
      <c r="J98" s="19">
        <f>IFERROR(VLOOKUP(A98,[2]PIVOT!$A$4:$B$388,2,FALSE),"")</f>
        <v/>
      </c>
      <c r="K98" s="19">
        <f>J98/6000</f>
        <v/>
      </c>
      <c r="L98" s="21">
        <f>H98/J98-1</f>
        <v/>
      </c>
      <c r="M98" s="21">
        <f>VLOOKUP(A98,[1]PIVOT!$B$4:$C$400,2,FALSE)</f>
        <v/>
      </c>
      <c r="N98" s="19" t="n"/>
      <c r="Q98" s="20">
        <f>LEN(F98)</f>
        <v/>
      </c>
      <c r="W98" s="20">
        <f>LEN(G98)</f>
        <v/>
      </c>
    </row>
    <row r="99" ht="27" customHeight="1">
      <c r="A99" s="9" t="inlineStr">
        <is>
          <t>113/محطة باعون</t>
        </is>
      </c>
      <c r="B99" s="10" t="inlineStr">
        <is>
          <t>محطة ضخ مياه باعون</t>
        </is>
      </c>
      <c r="C99" s="23" t="inlineStr">
        <is>
          <t>Ba'oon PS</t>
        </is>
      </c>
      <c r="D99" s="11" t="inlineStr">
        <is>
          <t>35.72949891</t>
        </is>
      </c>
      <c r="E99" s="11" t="inlineStr">
        <is>
          <t>32.38164787</t>
        </is>
      </c>
      <c r="H99" s="20">
        <f>IFERROR(VLOOKUP(A99,[1]PIVOT!$B$4:$E$391,3,FALSE),"")</f>
        <v/>
      </c>
      <c r="I99" s="19">
        <f>H99/6000</f>
        <v/>
      </c>
      <c r="J99" s="19">
        <f>IFERROR(VLOOKUP(A99,[2]PIVOT!$A$4:$B$388,2,FALSE),"")</f>
        <v/>
      </c>
      <c r="K99" s="19">
        <f>J99/6000</f>
        <v/>
      </c>
      <c r="L99" s="21">
        <f>H99/J99-1</f>
        <v/>
      </c>
      <c r="M99" s="21">
        <f>VLOOKUP(A99,[1]PIVOT!$B$4:$C$400,2,FALSE)</f>
        <v/>
      </c>
      <c r="N99" s="19" t="n"/>
      <c r="Q99" s="20">
        <f>LEN(F99)</f>
        <v/>
      </c>
      <c r="W99" s="20">
        <f>LEN(G99)</f>
        <v/>
      </c>
    </row>
    <row r="100" ht="27" customHeight="1">
      <c r="A100" s="9" t="inlineStr">
        <is>
          <t>117/بئر الزقيق رقم 3</t>
        </is>
      </c>
      <c r="B100" s="10" t="inlineStr">
        <is>
          <t>محطة ضخ مياه زقيق (3)</t>
        </is>
      </c>
      <c r="C100" s="23" t="inlineStr">
        <is>
          <t>Zuqaq PS 3</t>
        </is>
      </c>
      <c r="D100" s="11" t="inlineStr">
        <is>
          <t>35.67414994</t>
        </is>
      </c>
      <c r="E100" s="11" t="inlineStr">
        <is>
          <t>32.37445007</t>
        </is>
      </c>
      <c r="H100" s="20">
        <f>IFERROR(VLOOKUP(A100,[1]PIVOT!$B$4:$E$391,3,FALSE),"")</f>
        <v/>
      </c>
      <c r="I100" s="19">
        <f>H100/6000</f>
        <v/>
      </c>
      <c r="J100" s="19">
        <f>IFERROR(VLOOKUP(A100,[2]PIVOT!$A$4:$B$388,2,FALSE),"")</f>
        <v/>
      </c>
      <c r="K100" s="19">
        <f>J100/6000</f>
        <v/>
      </c>
      <c r="L100" s="21">
        <f>H100/J100-1</f>
        <v/>
      </c>
      <c r="M100" s="21">
        <f>VLOOKUP(A100,[1]PIVOT!$B$4:$C$400,2,FALSE)</f>
        <v/>
      </c>
      <c r="N100" s="19" t="n"/>
      <c r="Q100" s="20">
        <f>LEN(F100)</f>
        <v/>
      </c>
      <c r="W100" s="20">
        <f>LEN(G100)</f>
        <v/>
      </c>
    </row>
    <row r="101" ht="27" customHeight="1">
      <c r="A101" s="9" t="inlineStr">
        <is>
          <t>119/محطة اشتفينا</t>
        </is>
      </c>
      <c r="B101" s="10" t="inlineStr">
        <is>
          <t>محطة ضخ مياه اشتفينا</t>
        </is>
      </c>
      <c r="C101" s="23" t="inlineStr">
        <is>
          <t>Ishtafina PS</t>
        </is>
      </c>
      <c r="D101" s="11" t="inlineStr">
        <is>
          <t>35.73935758</t>
        </is>
      </c>
      <c r="E101" s="11" t="inlineStr">
        <is>
          <t>32.3552921</t>
        </is>
      </c>
      <c r="H101" s="20">
        <f>IFERROR(VLOOKUP(A101,[1]PIVOT!$B$4:$E$391,3,FALSE),"")</f>
        <v/>
      </c>
      <c r="I101" s="19">
        <f>H101/6000</f>
        <v/>
      </c>
      <c r="J101" s="19">
        <f>IFERROR(VLOOKUP(A101,[2]PIVOT!$A$4:$B$388,2,FALSE),"")</f>
        <v/>
      </c>
      <c r="K101" s="19">
        <f>J101/6000</f>
        <v/>
      </c>
      <c r="L101" s="21">
        <f>H101/J101-1</f>
        <v/>
      </c>
      <c r="M101" s="21">
        <f>VLOOKUP(A101,[1]PIVOT!$B$4:$C$400,2,FALSE)</f>
        <v/>
      </c>
      <c r="N101" s="19" t="n"/>
      <c r="Q101" s="20">
        <f>LEN(F101)</f>
        <v/>
      </c>
      <c r="W101" s="20">
        <f>LEN(G101)</f>
        <v/>
      </c>
    </row>
    <row r="102" ht="27" customHeight="1">
      <c r="A102" s="9" t="inlineStr">
        <is>
          <t>121/محطه زقيق رقم 4</t>
        </is>
      </c>
      <c r="B102" s="10" t="inlineStr">
        <is>
          <t>محطة ضخ مياه زقيق (4)</t>
        </is>
      </c>
      <c r="C102" s="23" t="inlineStr">
        <is>
          <t>Zuqaq  PS 4</t>
        </is>
      </c>
      <c r="D102" s="11" t="inlineStr">
        <is>
          <t>35.67553611</t>
        </is>
      </c>
      <c r="E102" s="11" t="inlineStr">
        <is>
          <t>32.3381898</t>
        </is>
      </c>
      <c r="H102" s="20">
        <f>IFERROR(VLOOKUP(A102,[1]PIVOT!$B$4:$E$391,3,FALSE),"")</f>
        <v/>
      </c>
      <c r="I102" s="19">
        <f>H102/6000</f>
        <v/>
      </c>
      <c r="J102" s="19">
        <f>IFERROR(VLOOKUP(A102,[2]PIVOT!$A$4:$B$388,2,FALSE),"")</f>
        <v/>
      </c>
      <c r="K102" s="19">
        <f>J102/6000</f>
        <v/>
      </c>
      <c r="L102" s="21">
        <f>H102/J102-1</f>
        <v/>
      </c>
      <c r="M102" s="21">
        <f>VLOOKUP(A102,[1]PIVOT!$B$4:$C$400,2,FALSE)</f>
        <v/>
      </c>
      <c r="N102" s="19" t="n"/>
      <c r="Q102" s="20">
        <f>LEN(F102)</f>
        <v/>
      </c>
      <c r="W102" s="20">
        <f>LEN(G102)</f>
        <v/>
      </c>
    </row>
    <row r="103" ht="27" customHeight="1">
      <c r="A103" s="9" t="inlineStr">
        <is>
          <t>122/محطة نبعة عين جنا</t>
        </is>
      </c>
      <c r="B103" s="10" t="inlineStr">
        <is>
          <t>محطة ضخ مياه ونبع عين جنا+ قسم حركة عجلون</t>
        </is>
      </c>
      <c r="C103" s="23" t="inlineStr">
        <is>
          <t>Ain Jana Spring</t>
        </is>
      </c>
      <c r="D103" s="11" t="inlineStr">
        <is>
          <t>35.7639</t>
        </is>
      </c>
      <c r="E103" s="11" t="inlineStr">
        <is>
          <t>32.3327</t>
        </is>
      </c>
      <c r="H103" s="20">
        <f>IFERROR(VLOOKUP(A103,[1]PIVOT!$B$4:$E$391,3,FALSE),"")</f>
        <v/>
      </c>
      <c r="I103" s="19">
        <f>H103/6000</f>
        <v/>
      </c>
      <c r="J103" s="19">
        <f>IFERROR(VLOOKUP(A103,[2]PIVOT!$A$4:$B$388,2,FALSE),"")</f>
        <v/>
      </c>
      <c r="K103" s="19">
        <f>J103/6000</f>
        <v/>
      </c>
      <c r="L103" s="21">
        <f>H103/J103-1</f>
        <v/>
      </c>
      <c r="M103" s="21">
        <f>VLOOKUP(A103,[1]PIVOT!$B$4:$C$400,2,FALSE)</f>
        <v/>
      </c>
      <c r="N103" s="19" t="n"/>
      <c r="Q103" s="20">
        <f>LEN(F103)</f>
        <v/>
      </c>
      <c r="W103" s="20">
        <f>LEN(G103)</f>
        <v/>
      </c>
    </row>
    <row r="104" ht="27" customHeight="1">
      <c r="A104" s="9" t="inlineStr">
        <is>
          <t>122/محطة نبعة عين جنا 1</t>
        </is>
      </c>
      <c r="B104" s="10" t="inlineStr">
        <is>
          <t>قسم الحركة- عين جنا</t>
        </is>
      </c>
      <c r="C104" s="23" t="inlineStr">
        <is>
          <t>Ain Jana Spring</t>
        </is>
      </c>
      <c r="D104" s="11" t="inlineStr">
        <is>
          <t>35.76380597</t>
        </is>
      </c>
      <c r="E104" s="11" t="inlineStr">
        <is>
          <t>32.33290597</t>
        </is>
      </c>
      <c r="H104" s="20">
        <f>IFERROR(VLOOKUP(A104,[1]PIVOT!$B$4:$E$391,3,FALSE),"")</f>
        <v/>
      </c>
      <c r="I104" s="19">
        <f>H104/6000</f>
        <v/>
      </c>
      <c r="J104" s="19">
        <f>IFERROR(VLOOKUP(A104,[2]PIVOT!$A$4:$B$388,2,FALSE),"")</f>
        <v/>
      </c>
      <c r="K104" s="19">
        <f>J104/6000</f>
        <v/>
      </c>
      <c r="L104" s="21">
        <f>H104/J104-1</f>
        <v/>
      </c>
      <c r="M104" s="21">
        <f>VLOOKUP(A104,[1]PIVOT!$B$4:$C$400,2,FALSE)</f>
        <v/>
      </c>
      <c r="N104" s="19" t="n"/>
      <c r="Q104" s="20">
        <f>LEN(F104)</f>
        <v/>
      </c>
      <c r="W104" s="20">
        <f>LEN(G104)</f>
        <v/>
      </c>
    </row>
    <row r="105" ht="27" customHeight="1">
      <c r="A105" s="9" t="inlineStr">
        <is>
          <t>126/محطة القنطره</t>
        </is>
      </c>
      <c r="B105" s="10" t="inlineStr">
        <is>
          <t>محطة ضخ مياه ونبع عين القنطرة</t>
        </is>
      </c>
      <c r="C105" s="23" t="inlineStr">
        <is>
          <t>Qantara PS</t>
        </is>
      </c>
      <c r="D105" s="12" t="inlineStr">
        <is>
          <t>35.742323</t>
        </is>
      </c>
      <c r="E105" s="12" t="inlineStr">
        <is>
          <t>32.321902</t>
        </is>
      </c>
      <c r="H105" s="20">
        <f>IFERROR(VLOOKUP(A105,[1]PIVOT!$B$4:$E$391,3,FALSE),"")</f>
        <v/>
      </c>
      <c r="I105" s="19">
        <f>H105/6000</f>
        <v/>
      </c>
      <c r="J105" s="19">
        <f>IFERROR(VLOOKUP(A105,[2]PIVOT!$A$4:$B$388,2,FALSE),"")</f>
        <v/>
      </c>
      <c r="K105" s="19">
        <f>J105/6000</f>
        <v/>
      </c>
      <c r="L105" s="21">
        <f>H105/J105-1</f>
        <v/>
      </c>
      <c r="M105" s="21">
        <f>VLOOKUP(A105,[1]PIVOT!$B$4:$C$400,2,FALSE)</f>
        <v/>
      </c>
      <c r="N105" s="19" t="n"/>
      <c r="Q105" s="20">
        <f>LEN(F105)</f>
        <v/>
      </c>
      <c r="W105" s="20">
        <f>LEN(G105)</f>
        <v/>
      </c>
    </row>
    <row r="106" ht="27" customHeight="1">
      <c r="A106" s="9" t="inlineStr">
        <is>
          <t>131/محطة تنقية كفرنجه</t>
        </is>
      </c>
      <c r="B106" s="10" t="inlineStr">
        <is>
          <t>محطة تنقية صرف صحي كفرنجة- اشتراك (1)</t>
        </is>
      </c>
      <c r="C106" s="23" t="inlineStr">
        <is>
          <t>Kofranja WWTP</t>
        </is>
      </c>
      <c r="D106" s="11" t="inlineStr">
        <is>
          <t>35.6836</t>
        </is>
      </c>
      <c r="E106" s="11" t="inlineStr">
        <is>
          <t>32.2963</t>
        </is>
      </c>
      <c r="H106" s="20">
        <f>IFERROR(VLOOKUP(A106,[1]PIVOT!$B$4:$E$391,3,FALSE),"")</f>
        <v/>
      </c>
      <c r="I106" s="19">
        <f>H106/6000</f>
        <v/>
      </c>
      <c r="J106" s="19">
        <f>IFERROR(VLOOKUP(A106,[2]PIVOT!$A$4:$B$388,2,FALSE),"")</f>
        <v/>
      </c>
      <c r="K106" s="19">
        <f>J106/6000</f>
        <v/>
      </c>
      <c r="L106" s="21">
        <f>H106/J106-1</f>
        <v/>
      </c>
      <c r="M106" s="21">
        <f>VLOOKUP(A106,[1]PIVOT!$B$4:$C$400,2,FALSE)</f>
        <v/>
      </c>
      <c r="N106" s="19" t="n"/>
      <c r="Q106" s="20">
        <f>LEN(F106)</f>
        <v/>
      </c>
      <c r="W106" s="20">
        <f>LEN(G106)</f>
        <v/>
      </c>
    </row>
    <row r="107" ht="27" customHeight="1">
      <c r="A107" s="9" t="inlineStr">
        <is>
          <t>136/محطة عين ام قاسم</t>
        </is>
      </c>
      <c r="B107" s="10" t="inlineStr">
        <is>
          <t>محطة ضخ مياه ونبع عين أم قاسم</t>
        </is>
      </c>
      <c r="C107" s="24" t="e">
        <v>#N/A</v>
      </c>
      <c r="D107" s="11" t="inlineStr">
        <is>
          <t>35.8552</t>
        </is>
      </c>
      <c r="E107" s="11" t="inlineStr">
        <is>
          <t>32.5647</t>
        </is>
      </c>
      <c r="H107" s="20">
        <f>IFERROR(VLOOKUP(A107,[1]PIVOT!$B$4:$E$391,3,FALSE),"")</f>
        <v/>
      </c>
      <c r="I107" s="19">
        <f>H107/6000</f>
        <v/>
      </c>
      <c r="J107" s="19">
        <f>IFERROR(VLOOKUP(A107,[2]PIVOT!$A$4:$B$388,2,FALSE),"")</f>
        <v/>
      </c>
      <c r="K107" s="19">
        <f>J107/6000</f>
        <v/>
      </c>
      <c r="L107" s="21">
        <f>H107/J107-1</f>
        <v/>
      </c>
      <c r="M107" s="21">
        <f>VLOOKUP(A107,[1]PIVOT!$B$4:$C$400,2,FALSE)</f>
        <v/>
      </c>
      <c r="N107" s="19" t="n"/>
      <c r="Q107" s="20">
        <f>LEN(F107)</f>
        <v/>
      </c>
      <c r="W107" s="20">
        <f>LEN(G107)</f>
        <v/>
      </c>
    </row>
    <row r="108" ht="27" customHeight="1">
      <c r="A108" s="9" t="inlineStr">
        <is>
          <t>142/بئر سوف الغربي</t>
        </is>
      </c>
      <c r="B108" s="10" t="inlineStr">
        <is>
          <t>محطة ضخ سوف + بئر سوف الغربي</t>
        </is>
      </c>
      <c r="C108" s="23" t="inlineStr">
        <is>
          <t>Souf Al Gharbi PS &amp; Well west</t>
        </is>
      </c>
      <c r="D108" s="11" t="inlineStr">
        <is>
          <t>35.8217</t>
        </is>
      </c>
      <c r="E108" s="11" t="inlineStr">
        <is>
          <t>32.3204</t>
        </is>
      </c>
      <c r="H108" s="20">
        <f>IFERROR(VLOOKUP(A108,[1]PIVOT!$B$4:$E$391,3,FALSE),"")</f>
        <v/>
      </c>
      <c r="I108" s="19">
        <f>H108/6000</f>
        <v/>
      </c>
      <c r="J108" s="19">
        <f>IFERROR(VLOOKUP(A108,[2]PIVOT!$A$4:$B$388,2,FALSE),"")</f>
        <v/>
      </c>
      <c r="K108" s="19">
        <f>J108/6000</f>
        <v/>
      </c>
      <c r="L108" s="21">
        <f>H108/J108-1</f>
        <v/>
      </c>
      <c r="M108" s="21">
        <f>VLOOKUP(A108,[1]PIVOT!$B$4:$C$400,2,FALSE)</f>
        <v/>
      </c>
      <c r="N108" s="19" t="n"/>
      <c r="Q108" s="20">
        <f>LEN(F108)</f>
        <v/>
      </c>
      <c r="W108" s="20">
        <f>LEN(G108)</f>
        <v/>
      </c>
    </row>
    <row r="109" ht="27" customHeight="1">
      <c r="A109" s="9" t="inlineStr">
        <is>
          <t>142/خزان سوف الغربي</t>
        </is>
      </c>
      <c r="B109" s="10" t="inlineStr">
        <is>
          <t xml:space="preserve">محطة ضخ وخزان المنارة </t>
        </is>
      </c>
      <c r="C109" s="24" t="e">
        <v>#N/A</v>
      </c>
      <c r="D109" s="11" t="inlineStr">
        <is>
          <t>35.8366</t>
        </is>
      </c>
      <c r="E109" s="11" t="inlineStr">
        <is>
          <t>32.3084</t>
        </is>
      </c>
      <c r="H109" s="20">
        <f>IFERROR(VLOOKUP(A109,[1]PIVOT!$B$4:$E$391,3,FALSE),"")</f>
        <v/>
      </c>
      <c r="I109" s="19">
        <f>H109/6000</f>
        <v/>
      </c>
      <c r="J109" s="19">
        <f>IFERROR(VLOOKUP(A109,[2]PIVOT!$A$4:$B$388,2,FALSE),"")</f>
        <v/>
      </c>
      <c r="K109" s="19">
        <f>J109/6000</f>
        <v/>
      </c>
      <c r="L109" s="21">
        <f>H109/J109-1</f>
        <v/>
      </c>
      <c r="M109" s="21">
        <f>VLOOKUP(A109,[1]PIVOT!$B$4:$C$400,2,FALSE)</f>
        <v/>
      </c>
      <c r="N109" s="19" t="n"/>
      <c r="Q109" s="20">
        <f>LEN(F109)</f>
        <v/>
      </c>
      <c r="W109" s="20">
        <f>LEN(G109)</f>
        <v/>
      </c>
    </row>
    <row r="110" ht="27" customHeight="1">
      <c r="A110" s="9" t="inlineStr">
        <is>
          <t>150/محطة الشواهد</t>
        </is>
      </c>
      <c r="B110" s="10" t="inlineStr">
        <is>
          <t>محطة ضخ مياه الشواهد + بئر الشواهد الشرقي (1)(3)(3أ) + بئر الشواهد الغربي</t>
        </is>
      </c>
      <c r="C110" s="30" t="inlineStr">
        <is>
          <t>AL Shawahed R , Al Shawahed PS</t>
        </is>
      </c>
      <c r="D110" s="11" t="inlineStr">
        <is>
          <t>35.89204843</t>
        </is>
      </c>
      <c r="E110" s="11" t="inlineStr">
        <is>
          <t>32.30329589</t>
        </is>
      </c>
      <c r="H110" s="20">
        <f>IFERROR(VLOOKUP(A110,[1]PIVOT!$B$4:$E$391,3,FALSE),"")</f>
        <v/>
      </c>
      <c r="I110" s="19">
        <f>H110/6000</f>
        <v/>
      </c>
      <c r="J110" s="19">
        <f>IFERROR(VLOOKUP(A110,[2]PIVOT!$A$4:$B$388,2,FALSE),"")</f>
        <v/>
      </c>
      <c r="K110" s="19">
        <f>J110/6000</f>
        <v/>
      </c>
      <c r="L110" s="21">
        <f>H110/J110-1</f>
        <v/>
      </c>
      <c r="M110" s="21">
        <f>VLOOKUP(A110,[1]PIVOT!$B$4:$C$400,2,FALSE)</f>
        <v/>
      </c>
      <c r="N110" s="19" t="n"/>
      <c r="Q110" s="20">
        <f>LEN(F110)</f>
        <v/>
      </c>
      <c r="W110" s="20">
        <f>LEN(G110)</f>
        <v/>
      </c>
    </row>
    <row r="111" ht="27" customHeight="1">
      <c r="A111" s="9" t="inlineStr">
        <is>
          <t>154/بئر وادي الدير الشرقي 3</t>
        </is>
      </c>
      <c r="B111" s="10" t="inlineStr">
        <is>
          <t>بئر وادي الدير الشرقي (1)</t>
        </is>
      </c>
      <c r="C111" s="24" t="e">
        <v>#N/A</v>
      </c>
      <c r="D111" s="11" t="inlineStr">
        <is>
          <t>35.8552</t>
        </is>
      </c>
      <c r="E111" s="11" t="inlineStr">
        <is>
          <t>32.5645</t>
        </is>
      </c>
      <c r="H111" s="20">
        <f>IFERROR(VLOOKUP(A111,[1]PIVOT!$B$4:$E$391,3,FALSE),"")</f>
        <v/>
      </c>
      <c r="I111" s="19">
        <f>H111/6000</f>
        <v/>
      </c>
      <c r="J111" s="19">
        <f>IFERROR(VLOOKUP(A111,[2]PIVOT!$A$4:$B$388,2,FALSE),"")</f>
        <v/>
      </c>
      <c r="K111" s="19">
        <f>J111/6000</f>
        <v/>
      </c>
      <c r="L111" s="21">
        <f>H111/J111-1</f>
        <v/>
      </c>
      <c r="M111" s="21">
        <f>VLOOKUP(A111,[1]PIVOT!$B$4:$C$400,2,FALSE)</f>
        <v/>
      </c>
      <c r="N111" s="19" t="n"/>
      <c r="Q111" s="20">
        <f>LEN(F111)</f>
        <v/>
      </c>
      <c r="W111" s="20">
        <f>LEN(G111)</f>
        <v/>
      </c>
    </row>
    <row r="112" ht="27" customHeight="1">
      <c r="A112" s="9" t="inlineStr">
        <is>
          <t>157/محطة بوستر ساكب 1</t>
        </is>
      </c>
      <c r="B112" s="10" t="inlineStr">
        <is>
          <t>محطة ضخ مياه ساكب</t>
        </is>
      </c>
      <c r="C112" s="24" t="e">
        <v>#N/A</v>
      </c>
      <c r="D112" s="12" t="inlineStr">
        <is>
          <t>35.8335277</t>
        </is>
      </c>
      <c r="E112" s="12" t="inlineStr">
        <is>
          <t>32.28625547</t>
        </is>
      </c>
      <c r="H112" s="20">
        <f>IFERROR(VLOOKUP(A112,[1]PIVOT!$B$4:$E$391,3,FALSE),"")</f>
        <v/>
      </c>
      <c r="I112" s="19">
        <f>H112/6000</f>
        <v/>
      </c>
      <c r="J112" s="19">
        <f>IFERROR(VLOOKUP(A112,[2]PIVOT!$A$4:$B$388,2,FALSE),"")</f>
        <v/>
      </c>
      <c r="K112" s="19">
        <f>J112/6000</f>
        <v/>
      </c>
      <c r="L112" s="21">
        <f>H112/J112-1</f>
        <v/>
      </c>
      <c r="M112" s="21">
        <f>VLOOKUP(A112,[1]PIVOT!$B$4:$C$400,2,FALSE)</f>
        <v/>
      </c>
      <c r="N112" s="19" t="n"/>
      <c r="Q112" s="20">
        <f>LEN(F112)</f>
        <v/>
      </c>
      <c r="W112" s="20">
        <f>LEN(G112)</f>
        <v/>
      </c>
    </row>
    <row r="113" ht="27" customHeight="1">
      <c r="A113" s="9" t="inlineStr">
        <is>
          <t>157/محطة بوستر ساكب 2</t>
        </is>
      </c>
      <c r="B113" s="10" t="inlineStr">
        <is>
          <t>خزان مياه ساكب</t>
        </is>
      </c>
      <c r="C113" s="23" t="inlineStr">
        <is>
          <t>Sakeb PS</t>
        </is>
      </c>
      <c r="D113" s="12" t="inlineStr">
        <is>
          <t>35.80948452</t>
        </is>
      </c>
      <c r="E113" s="12" t="inlineStr">
        <is>
          <t>32.28498723</t>
        </is>
      </c>
      <c r="H113" s="20">
        <f>IFERROR(VLOOKUP(A113,[1]PIVOT!$B$4:$E$391,3,FALSE),"")</f>
        <v/>
      </c>
      <c r="I113" s="19">
        <f>H113/6000</f>
        <v/>
      </c>
      <c r="J113" s="19">
        <f>IFERROR(VLOOKUP(A113,[2]PIVOT!$A$4:$B$388,2,FALSE),"")</f>
        <v/>
      </c>
      <c r="K113" s="19">
        <f>J113/6000</f>
        <v/>
      </c>
      <c r="L113" s="21">
        <f>H113/J113-1</f>
        <v/>
      </c>
      <c r="M113" s="21">
        <f>VLOOKUP(A113,[1]PIVOT!$B$4:$C$400,2,FALSE)</f>
        <v/>
      </c>
      <c r="N113" s="19" t="n"/>
      <c r="Q113" s="20">
        <f>LEN(F113)</f>
        <v/>
      </c>
      <c r="W113" s="20">
        <f>LEN(G113)</f>
        <v/>
      </c>
    </row>
    <row r="114" ht="27" customHeight="1">
      <c r="A114" s="9" t="inlineStr">
        <is>
          <t>158/بئر جرش رقم 4-قسم الحركه</t>
        </is>
      </c>
      <c r="B114" s="10" t="inlineStr">
        <is>
          <t>بئر وادي الدير الشرقي (2)- المالح</t>
        </is>
      </c>
      <c r="C114" s="23" t="inlineStr">
        <is>
          <t>Wadi Ed Dear Al Shargi Well</t>
        </is>
      </c>
      <c r="D114" s="12" t="inlineStr">
        <is>
          <t>35.89619907</t>
        </is>
      </c>
      <c r="E114" s="12" t="inlineStr">
        <is>
          <t>32.29238801</t>
        </is>
      </c>
      <c r="H114" s="20">
        <f>IFERROR(VLOOKUP(A114,[1]PIVOT!$B$4:$E$391,3,FALSE),"")</f>
        <v/>
      </c>
      <c r="I114" s="19">
        <f>H114/6000</f>
        <v/>
      </c>
      <c r="J114" s="19">
        <f>IFERROR(VLOOKUP(A114,[2]PIVOT!$A$4:$B$388,2,FALSE),"")</f>
        <v/>
      </c>
      <c r="K114" s="19">
        <f>J114/6000</f>
        <v/>
      </c>
      <c r="L114" s="21">
        <f>H114/J114-1</f>
        <v/>
      </c>
      <c r="M114" s="21">
        <f>VLOOKUP(A114,[1]PIVOT!$B$4:$C$400,2,FALSE)</f>
        <v/>
      </c>
      <c r="N114" s="19" t="n"/>
      <c r="Q114" s="20">
        <f>LEN(F114)</f>
        <v/>
      </c>
      <c r="W114" s="20">
        <f>LEN(G114)</f>
        <v/>
      </c>
    </row>
    <row r="115" ht="27" customHeight="1">
      <c r="A115" s="9" t="inlineStr">
        <is>
          <t>160/خزان جرش</t>
        </is>
      </c>
      <c r="B115" s="10" t="inlineStr">
        <is>
          <t>خزان ومحطة ضخ مياه الجبل الأخضر- اشتراك (2)</t>
        </is>
      </c>
      <c r="C115" s="30" t="inlineStr">
        <is>
          <t>Jerash Reservoir (Small) , Jerash R (Big)</t>
        </is>
      </c>
      <c r="D115" s="11" t="inlineStr">
        <is>
          <t>35.9056</t>
        </is>
      </c>
      <c r="E115" s="11" t="inlineStr">
        <is>
          <t>32.2829</t>
        </is>
      </c>
      <c r="H115" s="20">
        <f>IFERROR(VLOOKUP(A115,[1]PIVOT!$B$4:$E$391,3,FALSE),"")</f>
        <v/>
      </c>
      <c r="I115" s="19">
        <f>H115/6000</f>
        <v/>
      </c>
      <c r="J115" s="19">
        <f>IFERROR(VLOOKUP(A115,[2]PIVOT!$A$4:$B$388,2,FALSE),"")</f>
        <v/>
      </c>
      <c r="K115" s="19">
        <f>J115/6000</f>
        <v/>
      </c>
      <c r="L115" s="21">
        <f>H115/J115-1</f>
        <v/>
      </c>
      <c r="M115" s="21">
        <f>VLOOKUP(A115,[1]PIVOT!$B$4:$C$400,2,FALSE)</f>
        <v/>
      </c>
      <c r="N115" s="19" t="n"/>
      <c r="Q115" s="20">
        <f>LEN(F115)</f>
        <v/>
      </c>
      <c r="W115" s="20">
        <f>LEN(G115)</f>
        <v/>
      </c>
    </row>
    <row r="116" ht="27" customHeight="1">
      <c r="A116" s="9" t="inlineStr">
        <is>
          <t>162/محطة القيروان 1</t>
        </is>
      </c>
      <c r="B116" s="10" t="inlineStr">
        <is>
          <t>محطة ضخ مياه ونبع القيروان - اشتراك (2)/ فلاتر</t>
        </is>
      </c>
      <c r="C116" s="23" t="inlineStr">
        <is>
          <t>Al Qairawan PS</t>
        </is>
      </c>
      <c r="D116" s="12" t="inlineStr">
        <is>
          <t>35.89489734</t>
        </is>
      </c>
      <c r="E116" s="12" t="inlineStr">
        <is>
          <t>32.282285</t>
        </is>
      </c>
      <c r="H116" s="20">
        <f>IFERROR(VLOOKUP(A116,[1]PIVOT!$B$4:$E$391,3,FALSE),"")</f>
        <v/>
      </c>
      <c r="I116" s="19">
        <f>H116/6000</f>
        <v/>
      </c>
      <c r="J116" s="19">
        <f>IFERROR(VLOOKUP(A116,[2]PIVOT!$A$4:$B$388,2,FALSE),"")</f>
        <v/>
      </c>
      <c r="K116" s="19">
        <f>J116/6000</f>
        <v/>
      </c>
      <c r="L116" s="21">
        <f>H116/J116-1</f>
        <v/>
      </c>
      <c r="M116" s="21">
        <f>VLOOKUP(A116,[1]PIVOT!$B$4:$C$400,2,FALSE)</f>
        <v/>
      </c>
      <c r="N116" s="19" t="n"/>
      <c r="Q116" s="20">
        <f>LEN(F116)</f>
        <v/>
      </c>
      <c r="W116" s="20">
        <f>LEN(G116)</f>
        <v/>
      </c>
    </row>
    <row r="117" ht="27" customHeight="1">
      <c r="A117" s="9" t="inlineStr">
        <is>
          <t>162/محطة القيروان 2</t>
        </is>
      </c>
      <c r="B117" s="10" t="inlineStr">
        <is>
          <t>محطة ضخ مياه ونبع القيروان - اشتراك (1)</t>
        </is>
      </c>
      <c r="C117" s="23" t="inlineStr">
        <is>
          <t>Al Qairawan PS</t>
        </is>
      </c>
      <c r="D117" s="11" t="inlineStr">
        <is>
          <t>35.89489734</t>
        </is>
      </c>
      <c r="E117" s="11" t="inlineStr">
        <is>
          <t>32.282285</t>
        </is>
      </c>
      <c r="H117" s="20">
        <f>IFERROR(VLOOKUP(A117,[1]PIVOT!$B$4:$E$391,3,FALSE),"")</f>
        <v/>
      </c>
      <c r="I117" s="19">
        <f>H117/6000</f>
        <v/>
      </c>
      <c r="J117" s="19">
        <f>IFERROR(VLOOKUP(A117,[2]PIVOT!$A$4:$B$388,2,FALSE),"")</f>
        <v/>
      </c>
      <c r="K117" s="19">
        <f>J117/6000</f>
        <v/>
      </c>
      <c r="L117" s="21">
        <f>H117/J117-1</f>
        <v/>
      </c>
      <c r="M117" s="21">
        <f>VLOOKUP(A117,[1]PIVOT!$B$4:$C$400,2,FALSE)</f>
        <v/>
      </c>
      <c r="N117" s="19" t="n"/>
      <c r="Q117" s="20">
        <f>LEN(F117)</f>
        <v/>
      </c>
      <c r="W117" s="20">
        <f>LEN(G117)</f>
        <v/>
      </c>
    </row>
    <row r="118" ht="27" customHeight="1">
      <c r="A118" s="9" t="inlineStr">
        <is>
          <t>شركة مياه اليرموك -جرش</t>
        </is>
      </c>
      <c r="B118" s="10" t="inlineStr">
        <is>
          <t>شركة مياه اليرموك- ادارة مياه محافظة جرش</t>
        </is>
      </c>
      <c r="C118" s="24" t="e">
        <v>#N/A</v>
      </c>
      <c r="D118" s="12" t="inlineStr">
        <is>
          <t>35.896382</t>
        </is>
      </c>
      <c r="E118" s="12" t="inlineStr">
        <is>
          <t>32.285552</t>
        </is>
      </c>
      <c r="H118" s="20">
        <f>IFERROR(VLOOKUP(A118,[1]PIVOT!$B$4:$E$391,3,FALSE),"")</f>
        <v/>
      </c>
      <c r="I118" s="19">
        <f>H118/6000</f>
        <v/>
      </c>
      <c r="J118" s="19">
        <f>IFERROR(VLOOKUP(A118,[2]PIVOT!$A$4:$B$388,2,FALSE),"")</f>
        <v/>
      </c>
      <c r="K118" s="19">
        <f>J118/6000</f>
        <v/>
      </c>
      <c r="L118" s="21">
        <f>H118/J118-1</f>
        <v/>
      </c>
      <c r="M118" s="21">
        <f>VLOOKUP(A118,[1]PIVOT!$B$4:$C$400,2,FALSE)</f>
        <v/>
      </c>
      <c r="N118" s="19" t="n"/>
      <c r="Q118" s="20">
        <f>LEN(F118)</f>
        <v/>
      </c>
      <c r="W118" s="20">
        <f>LEN(G118)</f>
        <v/>
      </c>
    </row>
    <row r="119" ht="27" customHeight="1">
      <c r="A119" s="9" t="inlineStr">
        <is>
          <t>165/خزان بلدة الكته</t>
        </is>
      </c>
      <c r="B119" s="10" t="inlineStr">
        <is>
          <t>محطة ضخ مياه ونبع عين الديك + نبع عين التيس</t>
        </is>
      </c>
      <c r="C119" s="23" t="inlineStr">
        <is>
          <t>Ain Al Deek PS</t>
        </is>
      </c>
      <c r="D119" s="11" t="inlineStr">
        <is>
          <t>35.84711712</t>
        </is>
      </c>
      <c r="E119" s="11" t="inlineStr">
        <is>
          <t>32.26541092</t>
        </is>
      </c>
      <c r="F119" s="20" t="n"/>
      <c r="G119" s="20" t="n"/>
      <c r="H119" s="20">
        <f>IFERROR(VLOOKUP(A119,[1]PIVOT!$B$4:$E$391,3,FALSE),"")</f>
        <v/>
      </c>
      <c r="I119" s="19">
        <f>H119/6000</f>
        <v/>
      </c>
      <c r="J119" s="19">
        <f>IFERROR(VLOOKUP(A119,[2]PIVOT!$A$4:$B$388,2,FALSE),"")</f>
        <v/>
      </c>
      <c r="K119" s="19">
        <f>J119/6000</f>
        <v/>
      </c>
      <c r="L119" s="21">
        <f>H119/J119-1</f>
        <v/>
      </c>
      <c r="M119" s="21">
        <f>VLOOKUP(A119,[1]PIVOT!$B$4:$C$400,2,FALSE)</f>
        <v/>
      </c>
      <c r="N119" s="19" t="n"/>
      <c r="Q119" s="20">
        <f>LEN(F119)</f>
        <v/>
      </c>
      <c r="W119" s="20">
        <f>LEN(G119)</f>
        <v/>
      </c>
    </row>
    <row r="120" ht="27" customHeight="1">
      <c r="A120" s="9" t="inlineStr">
        <is>
          <t>167/بئر باب عمان</t>
        </is>
      </c>
      <c r="B120" s="10" t="inlineStr">
        <is>
          <t>بئر باب عمان</t>
        </is>
      </c>
      <c r="C120" s="23" t="inlineStr">
        <is>
          <t>Bab Amman Well</t>
        </is>
      </c>
      <c r="D120" s="11" t="inlineStr">
        <is>
          <t>35.8807</t>
        </is>
      </c>
      <c r="E120" s="11" t="inlineStr">
        <is>
          <t>32.2733</t>
        </is>
      </c>
      <c r="H120" s="20">
        <f>IFERROR(VLOOKUP(A120,[1]PIVOT!$B$4:$E$391,3,FALSE),"")</f>
        <v/>
      </c>
      <c r="I120" s="19">
        <f>H120/6000</f>
        <v/>
      </c>
      <c r="J120" s="19">
        <f>IFERROR(VLOOKUP(A120,[2]PIVOT!$A$4:$B$388,2,FALSE),"")</f>
        <v/>
      </c>
      <c r="K120" s="19">
        <f>J120/6000</f>
        <v/>
      </c>
      <c r="L120" s="21">
        <f>H120/J120-1</f>
        <v/>
      </c>
      <c r="M120" s="21">
        <f>VLOOKUP(A120,[1]PIVOT!$B$4:$C$400,2,FALSE)</f>
        <v/>
      </c>
      <c r="N120" s="19" t="n"/>
      <c r="Q120" s="20">
        <f>LEN(F120)</f>
        <v/>
      </c>
      <c r="W120" s="20">
        <f>LEN(G120)</f>
        <v/>
      </c>
    </row>
    <row r="121" ht="27" customHeight="1">
      <c r="A121" s="9" t="inlineStr">
        <is>
          <t>167/محطة الرياشي</t>
        </is>
      </c>
      <c r="B121" s="10" t="inlineStr">
        <is>
          <t>محطة ضخ مياه الرياشي + بئر (2)</t>
        </is>
      </c>
      <c r="C121" s="23" t="inlineStr">
        <is>
          <t>Sumaya Well 12</t>
        </is>
      </c>
      <c r="D121" s="12" t="inlineStr">
        <is>
          <t>36.229748</t>
        </is>
      </c>
      <c r="E121" s="12" t="inlineStr">
        <is>
          <t>32.447775</t>
        </is>
      </c>
      <c r="H121" s="20">
        <f>IFERROR(VLOOKUP(A121,[1]PIVOT!$B$4:$E$391,3,FALSE),"")</f>
        <v/>
      </c>
      <c r="I121" s="19">
        <f>H121/6000</f>
        <v/>
      </c>
      <c r="J121" s="19">
        <f>IFERROR(VLOOKUP(A121,[2]PIVOT!$A$4:$B$388,2,FALSE),"")</f>
        <v/>
      </c>
      <c r="K121" s="19">
        <f>J121/6000</f>
        <v/>
      </c>
      <c r="L121" s="21">
        <f>H121/J121-1</f>
        <v/>
      </c>
      <c r="M121" s="21">
        <f>VLOOKUP(A121,[1]PIVOT!$B$4:$C$400,2,FALSE)</f>
        <v/>
      </c>
      <c r="N121" s="19" t="n"/>
      <c r="Q121" s="20">
        <f>LEN(F121)</f>
        <v/>
      </c>
      <c r="W121" s="20">
        <f>LEN(G121)</f>
        <v/>
      </c>
    </row>
    <row r="122" ht="27" customHeight="1">
      <c r="A122" s="9" t="inlineStr">
        <is>
          <t>171/محطة تنقية جرش</t>
        </is>
      </c>
      <c r="B122" s="10" t="inlineStr">
        <is>
          <t>محطة تنقية صرف صحي شرق جرش- اشتراك (1)</t>
        </is>
      </c>
      <c r="C122" s="23" t="inlineStr">
        <is>
          <t>Jerash WWTP</t>
        </is>
      </c>
      <c r="D122" s="12" t="inlineStr">
        <is>
          <t>35.895002</t>
        </is>
      </c>
      <c r="E122" s="12" t="inlineStr">
        <is>
          <t>32.266349</t>
        </is>
      </c>
      <c r="H122" s="20">
        <f>IFERROR(VLOOKUP(A122,[1]PIVOT!$B$4:$E$391,3,FALSE),"")</f>
        <v/>
      </c>
      <c r="I122" s="19">
        <f>H122/6000</f>
        <v/>
      </c>
      <c r="J122" s="19">
        <f>IFERROR(VLOOKUP(A122,[2]PIVOT!$A$4:$B$388,2,FALSE),"")</f>
        <v/>
      </c>
      <c r="K122" s="19">
        <f>J122/6000</f>
        <v/>
      </c>
      <c r="L122" s="21">
        <f>H122/J122-1</f>
        <v/>
      </c>
      <c r="M122" s="21">
        <f>VLOOKUP(A122,[1]PIVOT!$B$4:$C$400,2,FALSE)</f>
        <v/>
      </c>
      <c r="N122" s="19" t="n"/>
      <c r="Q122" s="20">
        <f>LEN(F122)</f>
        <v/>
      </c>
      <c r="W122" s="20">
        <f>LEN(G122)</f>
        <v/>
      </c>
    </row>
    <row r="123" ht="27" customHeight="1">
      <c r="A123" s="9" t="inlineStr">
        <is>
          <t>177/بئر الصفاصفه</t>
        </is>
      </c>
      <c r="B123" s="10" t="inlineStr">
        <is>
          <t>محطة ضخ مياه الصفصافة</t>
        </is>
      </c>
      <c r="C123" s="23" t="inlineStr">
        <is>
          <t>Safsafa new Well PS</t>
        </is>
      </c>
      <c r="D123" s="12" t="inlineStr">
        <is>
          <t>35.756286</t>
        </is>
      </c>
      <c r="E123" s="12" t="inlineStr">
        <is>
          <t>32.246756</t>
        </is>
      </c>
      <c r="H123" s="20">
        <f>IFERROR(VLOOKUP(A123,[1]PIVOT!$B$4:$E$391,3,FALSE),"")</f>
        <v/>
      </c>
      <c r="I123" s="19">
        <f>H123/6000</f>
        <v/>
      </c>
      <c r="J123" s="19">
        <f>IFERROR(VLOOKUP(A123,[2]PIVOT!$A$4:$B$388,2,FALSE),"")</f>
        <v/>
      </c>
      <c r="K123" s="19">
        <f>J123/6000</f>
        <v/>
      </c>
      <c r="L123" s="21">
        <f>H123/J123-1</f>
        <v/>
      </c>
      <c r="M123" s="21">
        <f>VLOOKUP(A123,[1]PIVOT!$B$4:$C$400,2,FALSE)</f>
        <v/>
      </c>
      <c r="N123" s="19" t="n"/>
      <c r="Q123" s="20">
        <f>LEN(F123)</f>
        <v/>
      </c>
      <c r="W123" s="20">
        <f>LEN(G123)</f>
        <v/>
      </c>
    </row>
    <row r="124" ht="27" customHeight="1">
      <c r="A124" s="9" t="inlineStr">
        <is>
          <t>180/خزان برما</t>
        </is>
      </c>
      <c r="B124" s="10" t="inlineStr">
        <is>
          <t>خزان برما</t>
        </is>
      </c>
      <c r="C124" s="23" t="inlineStr">
        <is>
          <t>Borma R Spring</t>
        </is>
      </c>
      <c r="D124" s="11" t="inlineStr">
        <is>
          <t>35.7837</t>
        </is>
      </c>
      <c r="E124" s="11" t="inlineStr">
        <is>
          <t>32.222</t>
        </is>
      </c>
      <c r="H124" s="20">
        <f>IFERROR(VLOOKUP(A124,[1]PIVOT!$B$4:$E$391,3,FALSE),"")</f>
        <v/>
      </c>
      <c r="I124" s="19">
        <f>H124/6000</f>
        <v/>
      </c>
      <c r="J124" s="19">
        <f>IFERROR(VLOOKUP(A124,[2]PIVOT!$A$4:$B$388,2,FALSE),"")</f>
        <v/>
      </c>
      <c r="K124" s="19">
        <f>J124/6000</f>
        <v/>
      </c>
      <c r="L124" s="21">
        <f>H124/J124-1</f>
        <v/>
      </c>
      <c r="M124" s="21">
        <f>VLOOKUP(A124,[1]PIVOT!$B$4:$C$400,2,FALSE)</f>
        <v/>
      </c>
      <c r="N124" s="19" t="n"/>
      <c r="Q124" s="20">
        <f>LEN(F124)</f>
        <v/>
      </c>
      <c r="W124" s="20">
        <f>LEN(G124)</f>
        <v/>
      </c>
    </row>
    <row r="125" ht="27" customHeight="1">
      <c r="A125" s="9" t="inlineStr">
        <is>
          <t>181/محطة الدقمسه</t>
        </is>
      </c>
      <c r="B125" s="10" t="inlineStr">
        <is>
          <t>بئر ومحطة ضخ مياه الدقمسة</t>
        </is>
      </c>
      <c r="C125" s="23" t="inlineStr">
        <is>
          <t>Daqmaseh PS</t>
        </is>
      </c>
      <c r="D125" s="12" t="inlineStr">
        <is>
          <t>35.991913</t>
        </is>
      </c>
      <c r="E125" s="12" t="inlineStr">
        <is>
          <t>32.306322</t>
        </is>
      </c>
      <c r="H125" s="20">
        <f>IFERROR(VLOOKUP(A125,[1]PIVOT!$B$4:$E$391,3,FALSE),"")</f>
        <v/>
      </c>
      <c r="I125" s="19">
        <f>H125/6000</f>
        <v/>
      </c>
      <c r="J125" s="19">
        <f>IFERROR(VLOOKUP(A125,[2]PIVOT!$A$4:$B$388,2,FALSE),"")</f>
        <v/>
      </c>
      <c r="K125" s="19">
        <f>J125/6000</f>
        <v/>
      </c>
      <c r="L125" s="21">
        <f>H125/J125-1</f>
        <v/>
      </c>
      <c r="M125" s="21">
        <f>VLOOKUP(A125,[1]PIVOT!$B$4:$C$400,2,FALSE)</f>
        <v/>
      </c>
      <c r="N125" s="19" t="n"/>
      <c r="Q125" s="20">
        <f>LEN(F125)</f>
        <v/>
      </c>
      <c r="W125" s="20">
        <f>LEN(G125)</f>
        <v/>
      </c>
    </row>
    <row r="126" ht="27" customHeight="1">
      <c r="A126" s="9" t="inlineStr">
        <is>
          <t>186/خزان البويضه الغربيه</t>
        </is>
      </c>
      <c r="B126" s="10" t="inlineStr">
        <is>
          <t>محطة ضخ مياه البويضة</t>
        </is>
      </c>
      <c r="C126" s="23" t="inlineStr">
        <is>
          <t>Al Bwaydah Algarbeyeh PS</t>
        </is>
      </c>
      <c r="D126" s="11" t="inlineStr">
        <is>
          <t>36.04738775</t>
        </is>
      </c>
      <c r="E126" s="11" t="inlineStr">
        <is>
          <t>32.35942068</t>
        </is>
      </c>
      <c r="H126" s="20">
        <f>IFERROR(VLOOKUP(A126,[1]PIVOT!$B$4:$E$391,3,FALSE),"")</f>
        <v/>
      </c>
      <c r="I126" s="19">
        <f>H126/6000</f>
        <v/>
      </c>
      <c r="J126" s="19">
        <f>IFERROR(VLOOKUP(A126,[2]PIVOT!$A$4:$B$388,2,FALSE),"")</f>
        <v/>
      </c>
      <c r="K126" s="19">
        <f>J126/6000</f>
        <v/>
      </c>
      <c r="L126" s="21">
        <f>H126/J126-1</f>
        <v/>
      </c>
      <c r="M126" s="21">
        <f>VLOOKUP(A126,[1]PIVOT!$B$4:$C$400,2,FALSE)</f>
        <v/>
      </c>
      <c r="N126" s="19" t="n"/>
      <c r="Q126" s="20">
        <f>LEN(F126)</f>
        <v/>
      </c>
      <c r="W126" s="20">
        <f>LEN(G126)</f>
        <v/>
      </c>
    </row>
    <row r="127" ht="27" customHeight="1">
      <c r="A127" s="9" t="inlineStr">
        <is>
          <t>189/محطة ام اللولو 2</t>
        </is>
      </c>
      <c r="B127" s="10" t="inlineStr">
        <is>
          <t>محطة ضخ مياه أم اللولو</t>
        </is>
      </c>
      <c r="C127" s="23" t="inlineStr">
        <is>
          <t>Um El Lulu PS</t>
        </is>
      </c>
      <c r="D127" s="12" t="inlineStr">
        <is>
          <t>36.094933</t>
        </is>
      </c>
      <c r="E127" s="12" t="inlineStr">
        <is>
          <t>32.395137</t>
        </is>
      </c>
      <c r="F127" s="20" t="n"/>
      <c r="G127" s="20" t="n"/>
      <c r="H127" s="20">
        <f>IFERROR(VLOOKUP(A127,[1]PIVOT!$B$4:$E$391,3,FALSE),"")</f>
        <v/>
      </c>
      <c r="I127" s="19">
        <f>H127/6000</f>
        <v/>
      </c>
      <c r="J127" s="19">
        <f>IFERROR(VLOOKUP(A127,[2]PIVOT!$A$4:$B$388,2,FALSE),"")</f>
        <v/>
      </c>
      <c r="K127" s="19">
        <f>J127/6000</f>
        <v/>
      </c>
      <c r="L127" s="21">
        <f>H127/J127-1</f>
        <v/>
      </c>
      <c r="M127" s="21">
        <f>VLOOKUP(A127,[1]PIVOT!$B$4:$C$400,2,FALSE)</f>
        <v/>
      </c>
      <c r="N127" s="19" t="n"/>
      <c r="Q127" s="20">
        <f>LEN(F127)</f>
        <v/>
      </c>
      <c r="W127" s="20">
        <f>LEN(G127)</f>
        <v/>
      </c>
    </row>
    <row r="128" ht="27" customHeight="1">
      <c r="A128" s="9" t="inlineStr">
        <is>
          <t>191/بوستر حوشا</t>
        </is>
      </c>
      <c r="B128" s="10" t="inlineStr">
        <is>
          <t>محطة ضخ مياه حوشا</t>
        </is>
      </c>
      <c r="C128" s="23" t="inlineStr">
        <is>
          <t>Booster Hosha PS</t>
        </is>
      </c>
      <c r="D128" s="11" t="inlineStr">
        <is>
          <t>36.09713499</t>
        </is>
      </c>
      <c r="E128" s="11" t="inlineStr">
        <is>
          <t>32.433274</t>
        </is>
      </c>
      <c r="H128" s="20">
        <f>IFERROR(VLOOKUP(A128,[1]PIVOT!$B$4:$E$391,3,FALSE),"")</f>
        <v/>
      </c>
      <c r="I128" s="19">
        <f>H128/6000</f>
        <v/>
      </c>
      <c r="J128" s="19">
        <f>IFERROR(VLOOKUP(A128,[2]PIVOT!$A$4:$B$388,2,FALSE),"")</f>
        <v/>
      </c>
      <c r="K128" s="19">
        <f>J128/6000</f>
        <v/>
      </c>
      <c r="L128" s="21">
        <f>H128/J128-1</f>
        <v/>
      </c>
      <c r="M128" s="21">
        <f>VLOOKUP(A128,[1]PIVOT!$B$4:$C$400,2,FALSE)</f>
        <v/>
      </c>
      <c r="N128" s="19" t="n"/>
      <c r="Q128" s="20">
        <f>LEN(F128)</f>
        <v/>
      </c>
      <c r="W128" s="20">
        <f>LEN(G128)</f>
        <v/>
      </c>
    </row>
    <row r="129" ht="27" customHeight="1">
      <c r="A129" s="9" t="inlineStr">
        <is>
          <t>193/محطة الزنيه</t>
        </is>
      </c>
      <c r="B129" s="10" t="inlineStr">
        <is>
          <t>محطة ضخ مياه الزنيه</t>
        </is>
      </c>
      <c r="C129" s="23" t="inlineStr">
        <is>
          <t>Znaieh PS</t>
        </is>
      </c>
      <c r="D129" s="12" t="inlineStr">
        <is>
          <t>36.106708</t>
        </is>
      </c>
      <c r="E129" s="12" t="inlineStr">
        <is>
          <t>32.218192</t>
        </is>
      </c>
      <c r="F129" s="20" t="n"/>
      <c r="G129" s="20" t="n"/>
      <c r="H129" s="20">
        <f>IFERROR(VLOOKUP(A129,[1]PIVOT!$B$4:$E$391,3,FALSE),"")</f>
        <v/>
      </c>
      <c r="I129" s="19">
        <f>H129/6000</f>
        <v/>
      </c>
      <c r="J129" s="19">
        <f>IFERROR(VLOOKUP(A129,[2]PIVOT!$A$4:$B$388,2,FALSE),"")</f>
        <v/>
      </c>
      <c r="K129" s="19">
        <f>J129/6000</f>
        <v/>
      </c>
      <c r="L129" s="21">
        <f>H129/J129-1</f>
        <v/>
      </c>
      <c r="M129" s="21">
        <f>VLOOKUP(A129,[1]PIVOT!$B$4:$C$400,2,FALSE)</f>
        <v/>
      </c>
      <c r="N129" s="19" t="n"/>
      <c r="Q129" s="20">
        <f>LEN(F129)</f>
        <v/>
      </c>
      <c r="W129" s="20">
        <f>LEN(G129)</f>
        <v/>
      </c>
    </row>
    <row r="130" ht="27" customHeight="1">
      <c r="A130" s="9" t="inlineStr">
        <is>
          <t>196/بئر الزنيه رقم 3</t>
        </is>
      </c>
      <c r="B130" s="10" t="inlineStr">
        <is>
          <t xml:space="preserve"> بئر الزنيه (3)</t>
        </is>
      </c>
      <c r="C130" s="23" t="inlineStr">
        <is>
          <t>Znaieh Well 3</t>
        </is>
      </c>
      <c r="D130" s="11" t="inlineStr">
        <is>
          <t>36.14629736</t>
        </is>
      </c>
      <c r="E130" s="11" t="inlineStr">
        <is>
          <t>32.2073879</t>
        </is>
      </c>
      <c r="H130" s="20">
        <f>IFERROR(VLOOKUP(A130,[1]PIVOT!$B$4:$E$391,3,FALSE),"")</f>
        <v/>
      </c>
      <c r="I130" s="19">
        <f>H130/6000</f>
        <v/>
      </c>
      <c r="J130" s="19">
        <f>IFERROR(VLOOKUP(A130,[2]PIVOT!$A$4:$B$388,2,FALSE),"")</f>
        <v/>
      </c>
      <c r="K130" s="19">
        <f>J130/6000</f>
        <v/>
      </c>
      <c r="L130" s="21">
        <f>H130/J130-1</f>
        <v/>
      </c>
      <c r="M130" s="21">
        <f>VLOOKUP(A130,[1]PIVOT!$B$4:$C$400,2,FALSE)</f>
        <v/>
      </c>
      <c r="N130" s="19" t="n"/>
      <c r="Q130" s="20">
        <f>LEN(F130)</f>
        <v/>
      </c>
      <c r="W130" s="20">
        <f>LEN(G130)</f>
        <v/>
      </c>
    </row>
    <row r="131" ht="27" customHeight="1">
      <c r="A131" s="9" t="inlineStr">
        <is>
          <t>197/بئر الزنيه رقم 4</t>
        </is>
      </c>
      <c r="B131" s="10" t="inlineStr">
        <is>
          <t xml:space="preserve"> بئر الزنيه (4)</t>
        </is>
      </c>
      <c r="C131" s="23" t="inlineStr">
        <is>
          <t>Znaieh Well 4</t>
        </is>
      </c>
      <c r="D131" s="11" t="inlineStr">
        <is>
          <t>36.147576</t>
        </is>
      </c>
      <c r="E131" s="11" t="inlineStr">
        <is>
          <t>32.218626</t>
        </is>
      </c>
      <c r="H131" s="20">
        <f>IFERROR(VLOOKUP(A131,[1]PIVOT!$B$4:$E$391,3,FALSE),"")</f>
        <v/>
      </c>
      <c r="I131" s="19">
        <f>H131/6000</f>
        <v/>
      </c>
      <c r="J131" s="19">
        <f>IFERROR(VLOOKUP(A131,[2]PIVOT!$A$4:$B$388,2,FALSE),"")</f>
        <v/>
      </c>
      <c r="K131" s="19">
        <f>J131/6000</f>
        <v/>
      </c>
      <c r="L131" s="21">
        <f>H131/J131-1</f>
        <v/>
      </c>
      <c r="M131" s="21">
        <f>VLOOKUP(A131,[1]PIVOT!$B$4:$C$400,2,FALSE)</f>
        <v/>
      </c>
      <c r="N131" s="19" t="n"/>
      <c r="Q131" s="20">
        <f>LEN(F131)</f>
        <v/>
      </c>
      <c r="W131" s="20">
        <f>LEN(G131)</f>
        <v/>
      </c>
    </row>
    <row r="132" ht="27" customHeight="1">
      <c r="A132" s="9" t="inlineStr">
        <is>
          <t>2/مشروع مياه الصريح</t>
        </is>
      </c>
      <c r="B132" s="10" t="inlineStr">
        <is>
          <t>2/مشروع مياه الصريح</t>
        </is>
      </c>
      <c r="C132" s="24" t="e">
        <v>#N/A</v>
      </c>
      <c r="D132" s="11" t="inlineStr">
        <is>
          <t>35.86977749</t>
        </is>
      </c>
      <c r="E132" s="11" t="inlineStr">
        <is>
          <t>32.53350503</t>
        </is>
      </c>
      <c r="H132" s="20">
        <f>IFERROR(VLOOKUP(A132,[1]PIVOT!$B$4:$E$391,3,FALSE),"")</f>
        <v/>
      </c>
      <c r="I132" s="19">
        <f>H132/6000</f>
        <v/>
      </c>
      <c r="J132" s="19">
        <f>IFERROR(VLOOKUP(A132,[2]PIVOT!$A$4:$B$388,2,FALSE),"")</f>
        <v/>
      </c>
      <c r="K132" s="19">
        <f>J132/6000</f>
        <v/>
      </c>
      <c r="L132" s="21">
        <f>H132/J132-1</f>
        <v/>
      </c>
      <c r="M132" s="21">
        <f>VLOOKUP(A132,[1]PIVOT!$B$4:$C$400,2,FALSE)</f>
        <v/>
      </c>
      <c r="N132" s="19" t="n"/>
      <c r="Q132" s="20">
        <f>LEN(F132)</f>
        <v/>
      </c>
      <c r="W132" s="20">
        <f>LEN(G132)</f>
        <v/>
      </c>
    </row>
    <row r="133" ht="27" customHeight="1">
      <c r="A133" s="9" t="inlineStr">
        <is>
          <t>200/بئر الزنيه رقم 5</t>
        </is>
      </c>
      <c r="B133" s="10" t="inlineStr">
        <is>
          <t xml:space="preserve"> بئر الزنيه (5)</t>
        </is>
      </c>
      <c r="C133" s="23" t="inlineStr">
        <is>
          <t>Znaieh Well 5</t>
        </is>
      </c>
      <c r="D133" s="11" t="inlineStr">
        <is>
          <t>36.15219837</t>
        </is>
      </c>
      <c r="E133" s="11" t="inlineStr">
        <is>
          <t>32.21166761</t>
        </is>
      </c>
      <c r="H133" s="20">
        <f>IFERROR(VLOOKUP(A133,[1]PIVOT!$B$4:$E$391,3,FALSE),"")</f>
        <v/>
      </c>
      <c r="I133" s="19">
        <f>H133/6000</f>
        <v/>
      </c>
      <c r="J133" s="19">
        <f>IFERROR(VLOOKUP(A133,[2]PIVOT!$A$4:$B$388,2,FALSE),"")</f>
        <v/>
      </c>
      <c r="K133" s="19">
        <f>J133/6000</f>
        <v/>
      </c>
      <c r="L133" s="21">
        <f>H133/J133-1</f>
        <v/>
      </c>
      <c r="M133" s="21">
        <f>VLOOKUP(A133,[1]PIVOT!$B$4:$C$400,2,FALSE)</f>
        <v/>
      </c>
      <c r="N133" s="19" t="n"/>
      <c r="Q133" s="20">
        <f>LEN(F133)</f>
        <v/>
      </c>
      <c r="W133" s="20">
        <f>LEN(G133)</f>
        <v/>
      </c>
    </row>
    <row r="134" ht="27" customHeight="1">
      <c r="A134" s="9" t="inlineStr">
        <is>
          <t>201/محطة السويلمه</t>
        </is>
      </c>
      <c r="B134" s="10" t="inlineStr">
        <is>
          <t xml:space="preserve"> محطة ضخ مياه سويلمة</t>
        </is>
      </c>
      <c r="C134" s="23" t="inlineStr">
        <is>
          <t>Suwelmeh Well 3</t>
        </is>
      </c>
      <c r="D134" s="12" t="inlineStr">
        <is>
          <t>36.155306</t>
        </is>
      </c>
      <c r="E134" s="12" t="inlineStr">
        <is>
          <t>32.499806</t>
        </is>
      </c>
      <c r="H134" s="20">
        <f>IFERROR(VLOOKUP(A134,[1]PIVOT!$B$4:$E$391,3,FALSE),"")</f>
        <v/>
      </c>
      <c r="I134" s="19">
        <f>H134/6000</f>
        <v/>
      </c>
      <c r="J134" s="19">
        <f>IFERROR(VLOOKUP(A134,[2]PIVOT!$A$4:$B$388,2,FALSE),"")</f>
        <v/>
      </c>
      <c r="K134" s="19">
        <f>J134/6000</f>
        <v/>
      </c>
      <c r="L134" s="21">
        <f>H134/J134-1</f>
        <v/>
      </c>
      <c r="M134" s="21">
        <f>VLOOKUP(A134,[1]PIVOT!$B$4:$C$400,2,FALSE)</f>
        <v/>
      </c>
      <c r="N134" s="19" t="n"/>
      <c r="Q134" s="20">
        <f>LEN(F134)</f>
        <v/>
      </c>
      <c r="W134" s="20">
        <f>LEN(G134)</f>
        <v/>
      </c>
    </row>
    <row r="135" ht="27" customHeight="1">
      <c r="A135" s="9" t="inlineStr">
        <is>
          <t>204/بئر حدود جابر</t>
        </is>
      </c>
      <c r="B135" s="10" t="inlineStr">
        <is>
          <t xml:space="preserve"> (1)بئر حدود جابر</t>
        </is>
      </c>
      <c r="C135" s="23" t="inlineStr">
        <is>
          <t>Jaber Al Hodoud Well 1</t>
        </is>
      </c>
      <c r="D135" s="11" t="inlineStr">
        <is>
          <t>36.1885</t>
        </is>
      </c>
      <c r="E135" s="11" t="inlineStr">
        <is>
          <t>32.5183</t>
        </is>
      </c>
      <c r="H135" s="20">
        <f>IFERROR(VLOOKUP(A135,[1]PIVOT!$B$4:$E$391,3,FALSE),"")</f>
        <v/>
      </c>
      <c r="I135" s="19">
        <f>H135/6000</f>
        <v/>
      </c>
      <c r="J135" s="19">
        <f>IFERROR(VLOOKUP(A135,[2]PIVOT!$A$4:$B$388,2,FALSE),"")</f>
        <v/>
      </c>
      <c r="K135" s="19">
        <f>J135/6000</f>
        <v/>
      </c>
      <c r="L135" s="21">
        <f>H135/J135-1</f>
        <v/>
      </c>
      <c r="M135" s="21">
        <f>VLOOKUP(A135,[1]PIVOT!$B$4:$C$400,2,FALSE)</f>
        <v/>
      </c>
      <c r="N135" s="19" t="n"/>
      <c r="Q135" s="20">
        <f>LEN(F135)</f>
        <v/>
      </c>
      <c r="W135" s="20">
        <f>LEN(G135)</f>
        <v/>
      </c>
    </row>
    <row r="136" ht="27" customHeight="1">
      <c r="A136" s="9" t="inlineStr">
        <is>
          <t>205/بئر بلدة جابر السرحان</t>
        </is>
      </c>
      <c r="B136" s="10" t="inlineStr">
        <is>
          <t>محطة ضخ مياه جابر السرحان</t>
        </is>
      </c>
      <c r="C136" s="23" t="inlineStr">
        <is>
          <t>Jaber El Sarhan PS</t>
        </is>
      </c>
      <c r="D136" s="12" t="inlineStr">
        <is>
          <t>36.194539</t>
        </is>
      </c>
      <c r="E136" s="12" t="inlineStr">
        <is>
          <t>32.506057</t>
        </is>
      </c>
      <c r="H136" s="20">
        <f>IFERROR(VLOOKUP(A136,[1]PIVOT!$B$4:$E$391,3,FALSE),"")</f>
        <v/>
      </c>
      <c r="I136" s="19">
        <f>H136/6000</f>
        <v/>
      </c>
      <c r="J136" s="19">
        <f>IFERROR(VLOOKUP(A136,[2]PIVOT!$A$4:$B$388,2,FALSE),"")</f>
        <v/>
      </c>
      <c r="K136" s="19">
        <f>J136/6000</f>
        <v/>
      </c>
      <c r="L136" s="21">
        <f>H136/J136-1</f>
        <v/>
      </c>
      <c r="M136" s="21">
        <f>VLOOKUP(A136,[1]PIVOT!$B$4:$C$400,2,FALSE)</f>
        <v/>
      </c>
      <c r="N136" s="19" t="n"/>
      <c r="Q136" s="20">
        <f>LEN(F136)</f>
        <v/>
      </c>
      <c r="W136" s="20">
        <f>LEN(G136)</f>
        <v/>
      </c>
    </row>
    <row r="137" ht="27" customHeight="1">
      <c r="A137" s="9" t="inlineStr">
        <is>
          <t>207/بوستر حيان</t>
        </is>
      </c>
      <c r="B137" s="10" t="inlineStr">
        <is>
          <t>محطة ضخ مياه حيان</t>
        </is>
      </c>
      <c r="C137" s="30" t="inlineStr">
        <is>
          <t>AL Mafraq ROU Office , Hayyan Booster</t>
        </is>
      </c>
      <c r="D137" s="12" t="inlineStr">
        <is>
          <t>36.212581</t>
        </is>
      </c>
      <c r="E137" s="12" t="inlineStr">
        <is>
          <t>32.359214</t>
        </is>
      </c>
      <c r="H137" s="20">
        <f>IFERROR(VLOOKUP(A137,[1]PIVOT!$B$4:$E$391,3,FALSE),"")</f>
        <v/>
      </c>
      <c r="I137" s="19">
        <f>H137/6000</f>
        <v/>
      </c>
      <c r="J137" s="19">
        <f>IFERROR(VLOOKUP(A137,[2]PIVOT!$A$4:$B$388,2,FALSE),"")</f>
        <v/>
      </c>
      <c r="K137" s="19">
        <f>J137/6000</f>
        <v/>
      </c>
      <c r="L137" s="21">
        <f>H137/J137-1</f>
        <v/>
      </c>
      <c r="M137" s="21">
        <f>VLOOKUP(A137,[1]PIVOT!$B$4:$C$400,2,FALSE)</f>
        <v/>
      </c>
      <c r="N137" s="19" t="n"/>
      <c r="Q137" s="20">
        <f>LEN(F137)</f>
        <v/>
      </c>
      <c r="W137" s="20">
        <f>LEN(G137)</f>
        <v/>
      </c>
    </row>
    <row r="138" ht="27" customHeight="1">
      <c r="A138" s="9" t="inlineStr">
        <is>
          <t>207/مبنى المفرق 1</t>
        </is>
      </c>
      <c r="B138" s="10" t="inlineStr">
        <is>
          <t>شركة مياه اليرموك- إدارة مياه محافظة المفرق- اشتراك (1)</t>
        </is>
      </c>
      <c r="C138" s="30" t="inlineStr">
        <is>
          <t>AL Mafraq ROU Office , Hayyan Booster</t>
        </is>
      </c>
      <c r="D138" s="12" t="inlineStr">
        <is>
          <t>36.212614</t>
        </is>
      </c>
      <c r="E138" s="12" t="inlineStr">
        <is>
          <t>32.360049</t>
        </is>
      </c>
      <c r="H138" s="20">
        <f>IFERROR(VLOOKUP(A138,[1]PIVOT!$B$4:$E$391,3,FALSE),"")</f>
        <v/>
      </c>
      <c r="I138" s="19">
        <f>H138/6000</f>
        <v/>
      </c>
      <c r="J138" s="19">
        <f>IFERROR(VLOOKUP(A138,[2]PIVOT!$A$4:$B$388,2,FALSE),"")</f>
        <v/>
      </c>
      <c r="K138" s="19">
        <f>J138/6000</f>
        <v/>
      </c>
      <c r="L138" s="21">
        <f>H138/J138-1</f>
        <v/>
      </c>
      <c r="M138" s="21">
        <f>VLOOKUP(A138,[1]PIVOT!$B$4:$C$400,2,FALSE)</f>
        <v/>
      </c>
      <c r="N138" s="19" t="n"/>
      <c r="Q138" s="20">
        <f>LEN(F138)</f>
        <v/>
      </c>
      <c r="W138" s="20">
        <f>LEN(G138)</f>
        <v/>
      </c>
    </row>
    <row r="139" ht="27" customHeight="1">
      <c r="A139" s="9" t="inlineStr">
        <is>
          <t>207/مبنى المفرق 2</t>
        </is>
      </c>
      <c r="B139" s="10" t="inlineStr">
        <is>
          <t>شركة مياه اليرموك-  إدارة مياه محافظة المفرق- اشتراك (2)</t>
        </is>
      </c>
      <c r="C139" s="30" t="inlineStr">
        <is>
          <t>AL Mafraq ROU Office , Hayyan Booster</t>
        </is>
      </c>
      <c r="D139" s="12" t="inlineStr">
        <is>
          <t>36.212614</t>
        </is>
      </c>
      <c r="E139" s="12" t="inlineStr">
        <is>
          <t>32.360049</t>
        </is>
      </c>
      <c r="H139" s="20">
        <f>IFERROR(VLOOKUP(A139,[1]PIVOT!$B$4:$E$391,3,FALSE),"")</f>
        <v/>
      </c>
      <c r="I139" s="19">
        <f>H139/6000</f>
        <v/>
      </c>
      <c r="J139" s="19">
        <f>IFERROR(VLOOKUP(A139,[2]PIVOT!$A$4:$B$388,2,FALSE),"")</f>
        <v/>
      </c>
      <c r="K139" s="19">
        <f>J139/6000</f>
        <v/>
      </c>
      <c r="L139" s="21">
        <f>H139/J139-1</f>
        <v/>
      </c>
      <c r="M139" s="21">
        <f>VLOOKUP(A139,[1]PIVOT!$B$4:$C$400,2,FALSE)</f>
        <v/>
      </c>
      <c r="N139" s="19" t="n"/>
      <c r="Q139" s="20">
        <f>LEN(F139)</f>
        <v/>
      </c>
      <c r="W139" s="20">
        <f>LEN(G139)</f>
        <v/>
      </c>
    </row>
    <row r="140" ht="27" customHeight="1">
      <c r="A140" s="9" t="inlineStr">
        <is>
          <t>208/محطة سميا</t>
        </is>
      </c>
      <c r="B140" s="10" t="inlineStr">
        <is>
          <t>محطة ضخ مياه سميا</t>
        </is>
      </c>
      <c r="C140" s="30" t="inlineStr">
        <is>
          <t>Sumaya  Well02 , Sumaya Well 2 &amp; PS</t>
        </is>
      </c>
      <c r="D140" s="11" t="inlineStr">
        <is>
          <t>36.21933392</t>
        </is>
      </c>
      <c r="E140" s="11" t="inlineStr">
        <is>
          <t>32.43935454</t>
        </is>
      </c>
      <c r="F140" s="20" t="n"/>
      <c r="G140" s="20" t="n"/>
      <c r="H140" s="20">
        <f>IFERROR(VLOOKUP(A140,[1]PIVOT!$B$4:$E$391,3,FALSE),"")</f>
        <v/>
      </c>
      <c r="I140" s="19">
        <f>H140/6000</f>
        <v/>
      </c>
      <c r="J140" s="19">
        <f>IFERROR(VLOOKUP(A140,[2]PIVOT!$A$4:$B$388,2,FALSE),"")</f>
        <v/>
      </c>
      <c r="K140" s="19">
        <f>J140/6000</f>
        <v/>
      </c>
      <c r="L140" s="21">
        <f>H140/J140-1</f>
        <v/>
      </c>
      <c r="M140" s="21">
        <f>VLOOKUP(A140,[1]PIVOT!$B$4:$C$400,2,FALSE)</f>
        <v/>
      </c>
      <c r="N140" s="19" t="n"/>
      <c r="Q140" s="20">
        <f>LEN(F140)</f>
        <v/>
      </c>
      <c r="W140" s="20">
        <f>LEN(G140)</f>
        <v/>
      </c>
    </row>
    <row r="141" ht="27" customHeight="1">
      <c r="A141" s="9" t="inlineStr">
        <is>
          <t>212/بئر سميا رقم 6</t>
        </is>
      </c>
      <c r="B141" s="10" t="inlineStr">
        <is>
          <t xml:space="preserve"> بئر سميا  (6)</t>
        </is>
      </c>
      <c r="C141" s="23" t="inlineStr">
        <is>
          <t>Sumaya Well 6</t>
        </is>
      </c>
      <c r="D141" s="11" t="inlineStr">
        <is>
          <t>36.23101652</t>
        </is>
      </c>
      <c r="E141" s="11" t="inlineStr">
        <is>
          <t>32.45939345</t>
        </is>
      </c>
      <c r="H141" s="20">
        <f>IFERROR(VLOOKUP(A141,[1]PIVOT!$B$4:$E$391,3,FALSE),"")</f>
        <v/>
      </c>
      <c r="I141" s="19">
        <f>H141/6000</f>
        <v/>
      </c>
      <c r="J141" s="19">
        <f>IFERROR(VLOOKUP(A141,[2]PIVOT!$A$4:$B$388,2,FALSE),"")</f>
        <v/>
      </c>
      <c r="K141" s="19">
        <f>J141/6000</f>
        <v/>
      </c>
      <c r="L141" s="21">
        <f>H141/J141-1</f>
        <v/>
      </c>
      <c r="M141" s="21">
        <f>VLOOKUP(A141,[1]PIVOT!$B$4:$C$400,2,FALSE)</f>
        <v/>
      </c>
      <c r="N141" s="19" t="n"/>
      <c r="Q141" s="20">
        <f>LEN(F141)</f>
        <v/>
      </c>
      <c r="W141" s="20">
        <f>LEN(G141)</f>
        <v/>
      </c>
    </row>
    <row r="142" ht="27" customHeight="1">
      <c r="A142" s="9" t="inlineStr">
        <is>
          <t>213/بئر سميا رقم 5</t>
        </is>
      </c>
      <c r="B142" s="10" t="inlineStr">
        <is>
          <t xml:space="preserve"> بئر سميا  (5)</t>
        </is>
      </c>
      <c r="C142" s="23" t="inlineStr">
        <is>
          <t>Sumaya Well 5</t>
        </is>
      </c>
      <c r="D142" s="11" t="inlineStr">
        <is>
          <t>36.23464518</t>
        </is>
      </c>
      <c r="E142" s="11" t="inlineStr">
        <is>
          <t>32.45944183</t>
        </is>
      </c>
      <c r="H142" s="20">
        <f>IFERROR(VLOOKUP(A142,[1]PIVOT!$B$4:$E$391,3,FALSE),"")</f>
        <v/>
      </c>
      <c r="I142" s="19">
        <f>H142/6000</f>
        <v/>
      </c>
      <c r="J142" s="19">
        <f>IFERROR(VLOOKUP(A142,[2]PIVOT!$A$4:$B$388,2,FALSE),"")</f>
        <v/>
      </c>
      <c r="K142" s="19">
        <f>J142/6000</f>
        <v/>
      </c>
      <c r="L142" s="21">
        <f>H142/J142-1</f>
        <v/>
      </c>
      <c r="M142" s="21">
        <f>VLOOKUP(A142,[1]PIVOT!$B$4:$C$400,2,FALSE)</f>
        <v/>
      </c>
      <c r="N142" s="19" t="n"/>
      <c r="Q142" s="20">
        <f>LEN(F142)</f>
        <v/>
      </c>
      <c r="W142" s="20">
        <f>LEN(G142)</f>
        <v/>
      </c>
    </row>
    <row r="143" ht="27" customHeight="1">
      <c r="A143" s="9" t="inlineStr">
        <is>
          <t>214/بئر سميا رقم 3</t>
        </is>
      </c>
      <c r="B143" s="10" t="inlineStr">
        <is>
          <t xml:space="preserve"> بئر سميا  (3)</t>
        </is>
      </c>
      <c r="C143" s="23" t="inlineStr">
        <is>
          <t>Sumaya Well 3 &amp;Booster &amp;PS</t>
        </is>
      </c>
      <c r="D143" s="11" t="inlineStr">
        <is>
          <t>36.23554567</t>
        </is>
      </c>
      <c r="E143" s="11" t="inlineStr">
        <is>
          <t>32.45526642</t>
        </is>
      </c>
      <c r="H143" s="20">
        <f>IFERROR(VLOOKUP(A143,[1]PIVOT!$B$4:$E$391,3,FALSE),"")</f>
        <v/>
      </c>
      <c r="I143" s="19">
        <f>H143/6000</f>
        <v/>
      </c>
      <c r="J143" s="19">
        <f>IFERROR(VLOOKUP(A143,[2]PIVOT!$A$4:$B$388,2,FALSE),"")</f>
        <v/>
      </c>
      <c r="K143" s="19">
        <f>J143/6000</f>
        <v/>
      </c>
      <c r="L143" s="21">
        <f>H143/J143-1</f>
        <v/>
      </c>
      <c r="M143" s="21">
        <f>VLOOKUP(A143,[1]PIVOT!$B$4:$C$400,2,FALSE)</f>
        <v/>
      </c>
      <c r="N143" s="19" t="n"/>
      <c r="Q143" s="20">
        <f>LEN(F143)</f>
        <v/>
      </c>
      <c r="W143" s="20">
        <f>LEN(G143)</f>
        <v/>
      </c>
    </row>
    <row r="144" ht="27" customHeight="1">
      <c r="A144" s="9" t="inlineStr">
        <is>
          <t>216/بئر سميا رقم 4</t>
        </is>
      </c>
      <c r="B144" s="10" t="inlineStr">
        <is>
          <t xml:space="preserve"> بئر سميا  (4)</t>
        </is>
      </c>
      <c r="C144" s="23" t="inlineStr">
        <is>
          <t>Sumaya Well 4</t>
        </is>
      </c>
      <c r="D144" s="11" t="inlineStr">
        <is>
          <t>36.23900759</t>
        </is>
      </c>
      <c r="E144" s="11" t="inlineStr">
        <is>
          <t>32.45550755</t>
        </is>
      </c>
      <c r="H144" s="20">
        <f>IFERROR(VLOOKUP(A144,[1]PIVOT!$B$4:$E$391,3,FALSE),"")</f>
        <v/>
      </c>
      <c r="I144" s="19">
        <f>H144/6000</f>
        <v/>
      </c>
      <c r="J144" s="19">
        <f>IFERROR(VLOOKUP(A144,[2]PIVOT!$A$4:$B$388,2,FALSE),"")</f>
        <v/>
      </c>
      <c r="K144" s="19">
        <f>J144/6000</f>
        <v/>
      </c>
      <c r="L144" s="21">
        <f>H144/J144-1</f>
        <v/>
      </c>
      <c r="M144" s="21">
        <f>VLOOKUP(A144,[1]PIVOT!$B$4:$C$400,2,FALSE)</f>
        <v/>
      </c>
      <c r="N144" s="19" t="n"/>
      <c r="Q144" s="20">
        <f>LEN(F144)</f>
        <v/>
      </c>
      <c r="W144" s="20">
        <f>LEN(G144)</f>
        <v/>
      </c>
    </row>
    <row r="145" ht="27" customHeight="1">
      <c r="A145" s="9" t="inlineStr">
        <is>
          <t>218/بئر سميا رقم 8</t>
        </is>
      </c>
      <c r="B145" s="10" t="inlineStr">
        <is>
          <t xml:space="preserve"> بئر سميا  (8)</t>
        </is>
      </c>
      <c r="C145" s="23" t="inlineStr">
        <is>
          <t>Sumaya Well 8</t>
        </is>
      </c>
      <c r="D145" s="12" t="inlineStr">
        <is>
          <t>36.247521</t>
        </is>
      </c>
      <c r="E145" s="12" t="inlineStr">
        <is>
          <t>32.453343</t>
        </is>
      </c>
      <c r="H145" s="20">
        <f>IFERROR(VLOOKUP(A145,[1]PIVOT!$B$4:$E$391,3,FALSE),"")</f>
        <v/>
      </c>
      <c r="I145" s="19">
        <f>H145/6000</f>
        <v/>
      </c>
      <c r="J145" s="19">
        <f>IFERROR(VLOOKUP(A145,[2]PIVOT!$A$4:$B$388,2,FALSE),"")</f>
        <v/>
      </c>
      <c r="K145" s="19">
        <f>J145/6000</f>
        <v/>
      </c>
      <c r="L145" s="21">
        <f>H145/J145-1</f>
        <v/>
      </c>
      <c r="M145" s="21">
        <f>VLOOKUP(A145,[1]PIVOT!$B$4:$C$400,2,FALSE)</f>
        <v/>
      </c>
      <c r="N145" s="19" t="n"/>
      <c r="Q145" s="20">
        <f>LEN(F145)</f>
        <v/>
      </c>
      <c r="W145" s="20">
        <f>LEN(G145)</f>
        <v/>
      </c>
    </row>
    <row r="146" ht="27" customHeight="1">
      <c r="A146" s="9" t="inlineStr">
        <is>
          <t>221/مكتب صيانة الخالديه 1</t>
        </is>
      </c>
      <c r="B146" s="10" t="inlineStr">
        <is>
          <t>شركة مياه اليرموك- إدارة مياه محافظة المفرق-مكتب صيانة الخالدية</t>
        </is>
      </c>
      <c r="C146" s="23" t="inlineStr">
        <is>
          <t>Khaldyeh MO</t>
        </is>
      </c>
      <c r="D146" s="12" t="inlineStr">
        <is>
          <t>36.29590249</t>
        </is>
      </c>
      <c r="E146" s="12" t="inlineStr">
        <is>
          <t>32.16593</t>
        </is>
      </c>
      <c r="H146" s="20">
        <f>IFERROR(VLOOKUP(A146,[1]PIVOT!$B$4:$E$391,3,FALSE),"")</f>
        <v/>
      </c>
      <c r="I146" s="19">
        <f>H146/6000</f>
        <v/>
      </c>
      <c r="J146" s="19">
        <f>IFERROR(VLOOKUP(A146,[2]PIVOT!$A$4:$B$388,2,FALSE),"")</f>
        <v/>
      </c>
      <c r="K146" s="19">
        <f>J146/6000</f>
        <v/>
      </c>
      <c r="L146" s="21">
        <f>H146/J146-1</f>
        <v/>
      </c>
      <c r="M146" s="21">
        <f>VLOOKUP(A146,[1]PIVOT!$B$4:$C$400,2,FALSE)</f>
        <v/>
      </c>
      <c r="N146" s="19" t="n"/>
      <c r="Q146" s="20">
        <f>LEN(F146)</f>
        <v/>
      </c>
      <c r="W146" s="20">
        <f>LEN(G146)</f>
        <v/>
      </c>
    </row>
    <row r="147" ht="27" customHeight="1">
      <c r="A147" s="9" t="inlineStr">
        <is>
          <t>222/محطة الخالديه 1</t>
        </is>
      </c>
      <c r="B147" s="10" t="inlineStr">
        <is>
          <t>بئر ومحطة ضخ مياه الخالدية</t>
        </is>
      </c>
      <c r="C147" s="24" t="e">
        <v>#N/A</v>
      </c>
      <c r="D147" s="12" t="inlineStr">
        <is>
          <t>36.299417</t>
        </is>
      </c>
      <c r="E147" s="12" t="inlineStr">
        <is>
          <t>32.165256</t>
        </is>
      </c>
      <c r="F147" s="20" t="n"/>
      <c r="G147" s="20" t="n"/>
      <c r="H147" s="20">
        <f>IFERROR(VLOOKUP(A147,[1]PIVOT!$B$4:$E$391,3,FALSE),"")</f>
        <v/>
      </c>
      <c r="I147" s="19">
        <f>H147/6000</f>
        <v/>
      </c>
      <c r="J147" s="19">
        <f>IFERROR(VLOOKUP(A147,[2]PIVOT!$A$4:$B$388,2,FALSE),"")</f>
        <v/>
      </c>
      <c r="K147" s="19">
        <f>J147/6000</f>
        <v/>
      </c>
      <c r="L147" s="21">
        <f>H147/J147-1</f>
        <v/>
      </c>
      <c r="M147" s="21">
        <f>VLOOKUP(A147,[1]PIVOT!$B$4:$C$400,2,FALSE)</f>
        <v/>
      </c>
      <c r="N147" s="19" t="n"/>
      <c r="Q147" s="20">
        <f>LEN(F147)</f>
        <v/>
      </c>
      <c r="W147" s="20">
        <f>LEN(G147)</f>
        <v/>
      </c>
    </row>
    <row r="148" ht="27" customHeight="1">
      <c r="A148" s="9" t="inlineStr">
        <is>
          <t>223/بئر الزعتري رقم 5</t>
        </is>
      </c>
      <c r="B148" s="10" t="inlineStr">
        <is>
          <t xml:space="preserve"> بئر الزعتري (5)</t>
        </is>
      </c>
      <c r="C148" s="23" t="inlineStr">
        <is>
          <t>AL Za'tary Well 5</t>
        </is>
      </c>
      <c r="D148" s="11" t="inlineStr">
        <is>
          <t>36.30496784</t>
        </is>
      </c>
      <c r="E148" s="11" t="inlineStr">
        <is>
          <t>32.29927518</t>
        </is>
      </c>
      <c r="H148" s="20">
        <f>IFERROR(VLOOKUP(A148,[1]PIVOT!$B$4:$E$391,3,FALSE),"")</f>
        <v/>
      </c>
      <c r="I148" s="19">
        <f>H148/6000</f>
        <v/>
      </c>
      <c r="J148" s="19">
        <f>IFERROR(VLOOKUP(A148,[2]PIVOT!$A$4:$B$388,2,FALSE),"")</f>
        <v/>
      </c>
      <c r="K148" s="19">
        <f>J148/6000</f>
        <v/>
      </c>
      <c r="L148" s="21">
        <f>H148/J148-1</f>
        <v/>
      </c>
      <c r="M148" s="21">
        <f>VLOOKUP(A148,[1]PIVOT!$B$4:$C$400,2,FALSE)</f>
        <v/>
      </c>
      <c r="N148" s="19" t="n"/>
      <c r="Q148" s="20">
        <f>LEN(F148)</f>
        <v/>
      </c>
      <c r="W148" s="20">
        <f>LEN(G148)</f>
        <v/>
      </c>
    </row>
    <row r="149" ht="27" customHeight="1">
      <c r="A149" s="9" t="inlineStr">
        <is>
          <t>224/بئر الزعتري رقم 7</t>
        </is>
      </c>
      <c r="B149" s="10" t="inlineStr">
        <is>
          <t xml:space="preserve"> بئر الزعتري (7)</t>
        </is>
      </c>
      <c r="C149" s="23" t="inlineStr">
        <is>
          <t>AL Za'tary Well 7</t>
        </is>
      </c>
      <c r="D149" s="12" t="inlineStr">
        <is>
          <t>36.305831</t>
        </is>
      </c>
      <c r="E149" s="12" t="inlineStr">
        <is>
          <t>32.286852</t>
        </is>
      </c>
      <c r="H149" s="20">
        <f>IFERROR(VLOOKUP(A149,[1]PIVOT!$B$4:$E$391,3,FALSE),"")</f>
        <v/>
      </c>
      <c r="I149" s="19">
        <f>H149/6000</f>
        <v/>
      </c>
      <c r="J149" s="19">
        <f>IFERROR(VLOOKUP(A149,[2]PIVOT!$A$4:$B$388,2,FALSE),"")</f>
        <v/>
      </c>
      <c r="K149" s="19">
        <f>J149/6000</f>
        <v/>
      </c>
      <c r="L149" s="21">
        <f>H149/J149-1</f>
        <v/>
      </c>
      <c r="M149" s="21">
        <f>VLOOKUP(A149,[1]PIVOT!$B$4:$C$400,2,FALSE)</f>
        <v/>
      </c>
      <c r="N149" s="19" t="n"/>
      <c r="Q149" s="20">
        <f>LEN(F149)</f>
        <v/>
      </c>
      <c r="W149" s="20">
        <f>LEN(G149)</f>
        <v/>
      </c>
    </row>
    <row r="150" ht="27" customHeight="1">
      <c r="A150" s="9" t="inlineStr">
        <is>
          <t>225/بئر الزعتري رقم 4</t>
        </is>
      </c>
      <c r="B150" s="10" t="inlineStr">
        <is>
          <t xml:space="preserve"> بئر الزعتري (4)</t>
        </is>
      </c>
      <c r="C150" s="23" t="inlineStr">
        <is>
          <t>AL Za'tary Well 4</t>
        </is>
      </c>
      <c r="D150" s="12" t="inlineStr">
        <is>
          <t>36.306528</t>
        </is>
      </c>
      <c r="E150" s="12" t="inlineStr">
        <is>
          <t>32.304767</t>
        </is>
      </c>
      <c r="H150" s="20">
        <f>IFERROR(VLOOKUP(A150,[1]PIVOT!$B$4:$E$391,3,FALSE),"")</f>
        <v/>
      </c>
      <c r="I150" s="19">
        <f>H150/6000</f>
        <v/>
      </c>
      <c r="J150" s="19">
        <f>IFERROR(VLOOKUP(A150,[2]PIVOT!$A$4:$B$388,2,FALSE),"")</f>
        <v/>
      </c>
      <c r="K150" s="19">
        <f>J150/6000</f>
        <v/>
      </c>
      <c r="L150" s="21">
        <f>H150/J150-1</f>
        <v/>
      </c>
      <c r="M150" s="21">
        <f>VLOOKUP(A150,[1]PIVOT!$B$4:$C$400,2,FALSE)</f>
        <v/>
      </c>
      <c r="N150" s="19" t="n"/>
      <c r="Q150" s="20">
        <f>LEN(F150)</f>
        <v/>
      </c>
      <c r="W150" s="20">
        <f>LEN(G150)</f>
        <v/>
      </c>
    </row>
    <row r="151" ht="27" customHeight="1">
      <c r="A151" s="9" t="inlineStr">
        <is>
          <t>226/بئر الزعتري رقم 9</t>
        </is>
      </c>
      <c r="B151" s="10" t="inlineStr">
        <is>
          <t xml:space="preserve"> بئر الزعتري (9)</t>
        </is>
      </c>
      <c r="C151" s="23" t="inlineStr">
        <is>
          <t>AL Za'tary Well 9</t>
        </is>
      </c>
      <c r="D151" s="12" t="inlineStr">
        <is>
          <t>36.307523</t>
        </is>
      </c>
      <c r="E151" s="12" t="inlineStr">
        <is>
          <t>32.276991</t>
        </is>
      </c>
      <c r="H151" s="20">
        <f>IFERROR(VLOOKUP(A151,[1]PIVOT!$B$4:$E$391,3,FALSE),"")</f>
        <v/>
      </c>
      <c r="I151" s="19">
        <f>H151/6000</f>
        <v/>
      </c>
      <c r="J151" s="19">
        <f>IFERROR(VLOOKUP(A151,[2]PIVOT!$A$4:$B$388,2,FALSE),"")</f>
        <v/>
      </c>
      <c r="K151" s="19">
        <f>J151/6000</f>
        <v/>
      </c>
      <c r="L151" s="21">
        <f>H151/J151-1</f>
        <v/>
      </c>
      <c r="M151" s="21">
        <f>VLOOKUP(A151,[1]PIVOT!$B$4:$C$400,2,FALSE)</f>
        <v/>
      </c>
      <c r="N151" s="19" t="n"/>
      <c r="Q151" s="20">
        <f>LEN(F151)</f>
        <v/>
      </c>
      <c r="W151" s="20">
        <f>LEN(G151)</f>
        <v/>
      </c>
    </row>
    <row r="152" ht="27" customHeight="1">
      <c r="A152" s="9" t="inlineStr">
        <is>
          <t>228/بئر الزعتري رقم 3</t>
        </is>
      </c>
      <c r="B152" s="10" t="inlineStr">
        <is>
          <t xml:space="preserve"> بئر الزعتري (3)</t>
        </is>
      </c>
      <c r="C152" s="23" t="inlineStr">
        <is>
          <t>AL Za'tary Well 3</t>
        </is>
      </c>
      <c r="D152" s="12" t="inlineStr">
        <is>
          <t>36.308677</t>
        </is>
      </c>
      <c r="E152" s="12" t="inlineStr">
        <is>
          <t>32.312456</t>
        </is>
      </c>
      <c r="H152" s="20">
        <f>IFERROR(VLOOKUP(A152,[1]PIVOT!$B$4:$E$391,3,FALSE),"")</f>
        <v/>
      </c>
      <c r="I152" s="19">
        <f>H152/6000</f>
        <v/>
      </c>
      <c r="J152" s="19">
        <f>IFERROR(VLOOKUP(A152,[2]PIVOT!$A$4:$B$388,2,FALSE),"")</f>
        <v/>
      </c>
      <c r="K152" s="19">
        <f>J152/6000</f>
        <v/>
      </c>
      <c r="L152" s="21">
        <f>H152/J152-1</f>
        <v/>
      </c>
      <c r="M152" s="21">
        <f>VLOOKUP(A152,[1]PIVOT!$B$4:$C$400,2,FALSE)</f>
        <v/>
      </c>
      <c r="N152" s="19" t="n"/>
      <c r="Q152" s="20">
        <f>LEN(F152)</f>
        <v/>
      </c>
      <c r="W152" s="20">
        <f>LEN(G152)</f>
        <v/>
      </c>
    </row>
    <row r="153" ht="27" customHeight="1">
      <c r="A153" s="9" t="inlineStr">
        <is>
          <t>229/محطة الزعتري 3</t>
        </is>
      </c>
      <c r="B153" s="10" t="inlineStr">
        <is>
          <t xml:space="preserve"> محطة ضخ مياه الزعتري (3)</t>
        </is>
      </c>
      <c r="C153" s="23" t="inlineStr">
        <is>
          <t>Al Za'tary PS</t>
        </is>
      </c>
      <c r="D153" s="11" t="inlineStr">
        <is>
          <t>36.30868288</t>
        </is>
      </c>
      <c r="E153" s="11" t="inlineStr">
        <is>
          <t>32.31789233</t>
        </is>
      </c>
      <c r="H153" s="20">
        <f>IFERROR(VLOOKUP(A153,[1]PIVOT!$B$4:$E$391,3,FALSE),"")</f>
        <v/>
      </c>
      <c r="I153" s="19">
        <f>H153/6000</f>
        <v/>
      </c>
      <c r="J153" s="19">
        <f>IFERROR(VLOOKUP(A153,[2]PIVOT!$A$4:$B$388,2,FALSE),"")</f>
        <v/>
      </c>
      <c r="K153" s="19">
        <f>J153/6000</f>
        <v/>
      </c>
      <c r="L153" s="21">
        <f>H153/J153-1</f>
        <v/>
      </c>
      <c r="M153" s="21">
        <f>VLOOKUP(A153,[1]PIVOT!$B$4:$C$400,2,FALSE)</f>
        <v/>
      </c>
      <c r="N153" s="19" t="n"/>
      <c r="Q153" s="20">
        <f>LEN(F153)</f>
        <v/>
      </c>
      <c r="W153" s="20">
        <f>LEN(G153)</f>
        <v/>
      </c>
    </row>
    <row r="154" ht="27" customHeight="1">
      <c r="A154" s="9" t="inlineStr">
        <is>
          <t>229/محطة الزعتري 4</t>
        </is>
      </c>
      <c r="B154" s="10" t="inlineStr">
        <is>
          <t xml:space="preserve"> محطة ضخ مياه الزعتري (4)</t>
        </is>
      </c>
      <c r="C154" s="23" t="inlineStr">
        <is>
          <t>Al Za'tary PS</t>
        </is>
      </c>
      <c r="D154" s="11" t="inlineStr">
        <is>
          <t>36.30868288</t>
        </is>
      </c>
      <c r="E154" s="11" t="inlineStr">
        <is>
          <t>32.31789233</t>
        </is>
      </c>
      <c r="H154" s="20">
        <f>IFERROR(VLOOKUP(A154,[1]PIVOT!$B$4:$E$391,3,FALSE),"")</f>
        <v/>
      </c>
      <c r="I154" s="19">
        <f>H154/6000</f>
        <v/>
      </c>
      <c r="J154" s="19">
        <f>IFERROR(VLOOKUP(A154,[2]PIVOT!$A$4:$B$388,2,FALSE),"")</f>
        <v/>
      </c>
      <c r="K154" s="19">
        <f>J154/6000</f>
        <v/>
      </c>
      <c r="L154" s="21">
        <f>H154/J154-1</f>
        <v/>
      </c>
      <c r="M154" s="21">
        <f>VLOOKUP(A154,[1]PIVOT!$B$4:$C$400,2,FALSE)</f>
        <v/>
      </c>
      <c r="N154" s="19" t="n"/>
      <c r="Q154" s="20">
        <f>LEN(F154)</f>
        <v/>
      </c>
      <c r="W154" s="20">
        <f>LEN(G154)</f>
        <v/>
      </c>
    </row>
    <row r="155" ht="27" customHeight="1">
      <c r="A155" s="9" t="inlineStr">
        <is>
          <t>229/محطة الزعتري 5</t>
        </is>
      </c>
      <c r="B155" s="10" t="inlineStr">
        <is>
          <t xml:space="preserve"> محطة ضخ مياه الزعتري (5)</t>
        </is>
      </c>
      <c r="C155" s="23" t="inlineStr">
        <is>
          <t>Al Za'tary PS</t>
        </is>
      </c>
      <c r="D155" s="11" t="inlineStr">
        <is>
          <t>36.30868288</t>
        </is>
      </c>
      <c r="E155" s="11" t="inlineStr">
        <is>
          <t>32.31789233</t>
        </is>
      </c>
      <c r="H155" s="20">
        <f>IFERROR(VLOOKUP(A155,[1]PIVOT!$B$4:$E$391,3,FALSE),"")</f>
        <v/>
      </c>
      <c r="I155" s="19">
        <f>H155/6000</f>
        <v/>
      </c>
      <c r="J155" s="19">
        <f>IFERROR(VLOOKUP(A155,[2]PIVOT!$A$4:$B$388,2,FALSE),"")</f>
        <v/>
      </c>
      <c r="K155" s="19">
        <f>J155/6000</f>
        <v/>
      </c>
      <c r="L155" s="21">
        <f>H155/J155-1</f>
        <v/>
      </c>
      <c r="M155" s="21">
        <f>VLOOKUP(A155,[1]PIVOT!$B$4:$C$400,2,FALSE)</f>
        <v/>
      </c>
      <c r="N155" s="19" t="n"/>
      <c r="Q155" s="20">
        <f>LEN(F155)</f>
        <v/>
      </c>
      <c r="W155" s="20">
        <f>LEN(G155)</f>
        <v/>
      </c>
    </row>
    <row r="156" ht="27" customHeight="1">
      <c r="A156" s="9" t="inlineStr">
        <is>
          <t>229/محطة الزعتري 6</t>
        </is>
      </c>
      <c r="B156" s="10" t="inlineStr">
        <is>
          <t xml:space="preserve"> محطة ضخ مياه الزعتري (6)</t>
        </is>
      </c>
      <c r="C156" s="23" t="inlineStr">
        <is>
          <t>Al Za'tary PS</t>
        </is>
      </c>
      <c r="D156" s="11" t="inlineStr">
        <is>
          <t>36.309</t>
        </is>
      </c>
      <c r="E156" s="11" t="inlineStr">
        <is>
          <t>32.3179</t>
        </is>
      </c>
      <c r="H156" s="20">
        <f>IFERROR(VLOOKUP(A156,[1]PIVOT!$B$4:$E$391,3,FALSE),"")</f>
        <v/>
      </c>
      <c r="I156" s="19">
        <f>H156/6000</f>
        <v/>
      </c>
      <c r="J156" s="19">
        <f>IFERROR(VLOOKUP(A156,[2]PIVOT!$A$4:$B$388,2,FALSE),"")</f>
        <v/>
      </c>
      <c r="K156" s="19">
        <f>J156/6000</f>
        <v/>
      </c>
      <c r="L156" s="21">
        <f>H156/J156-1</f>
        <v/>
      </c>
      <c r="M156" s="21">
        <f>VLOOKUP(A156,[1]PIVOT!$B$4:$C$400,2,FALSE)</f>
        <v/>
      </c>
      <c r="N156" s="19" t="n"/>
      <c r="Q156" s="20">
        <f>LEN(F156)</f>
        <v/>
      </c>
      <c r="W156" s="20">
        <f>LEN(G156)</f>
        <v/>
      </c>
    </row>
    <row r="157" ht="27" customHeight="1">
      <c r="A157" s="9" t="inlineStr">
        <is>
          <t>229/محطة الزعتري 7</t>
        </is>
      </c>
      <c r="B157" s="10" t="inlineStr">
        <is>
          <t xml:space="preserve"> محطة ضخ مياه الزعتري (7)</t>
        </is>
      </c>
      <c r="C157" s="23" t="inlineStr">
        <is>
          <t>Al Za'tary PS</t>
        </is>
      </c>
      <c r="D157" s="11" t="inlineStr">
        <is>
          <t>36.30868288</t>
        </is>
      </c>
      <c r="E157" s="11" t="inlineStr">
        <is>
          <t>32.31789233</t>
        </is>
      </c>
      <c r="H157" s="20">
        <f>IFERROR(VLOOKUP(A157,[1]PIVOT!$B$4:$E$391,3,FALSE),"")</f>
        <v/>
      </c>
      <c r="I157" s="19">
        <f>H157/6000</f>
        <v/>
      </c>
      <c r="J157" s="19">
        <f>IFERROR(VLOOKUP(A157,[2]PIVOT!$A$4:$B$388,2,FALSE),"")</f>
        <v/>
      </c>
      <c r="K157" s="19">
        <f>J157/6000</f>
        <v/>
      </c>
      <c r="L157" s="21">
        <f>H157/J157-1</f>
        <v/>
      </c>
      <c r="M157" s="21">
        <f>VLOOKUP(A157,[1]PIVOT!$B$4:$C$400,2,FALSE)</f>
        <v/>
      </c>
      <c r="N157" s="19" t="n"/>
      <c r="Q157" s="20">
        <f>LEN(F157)</f>
        <v/>
      </c>
      <c r="W157" s="20">
        <f>LEN(G157)</f>
        <v/>
      </c>
    </row>
    <row r="158" ht="27" customHeight="1">
      <c r="A158" s="9" t="inlineStr">
        <is>
          <t>230/بئر الزعتري  رقم 6</t>
        </is>
      </c>
      <c r="B158" s="10" t="inlineStr">
        <is>
          <t xml:space="preserve"> بئر الزعتري (6)</t>
        </is>
      </c>
      <c r="C158" s="23" t="inlineStr">
        <is>
          <t>AL Za'tary Well 6</t>
        </is>
      </c>
      <c r="D158" s="12" t="inlineStr">
        <is>
          <t>36.309578</t>
        </is>
      </c>
      <c r="E158" s="12" t="inlineStr">
        <is>
          <t>32.301485</t>
        </is>
      </c>
      <c r="H158" s="20">
        <f>IFERROR(VLOOKUP(A158,[1]PIVOT!$B$4:$E$391,3,FALSE),"")</f>
        <v/>
      </c>
      <c r="I158" s="19">
        <f>H158/6000</f>
        <v/>
      </c>
      <c r="J158" s="19">
        <f>IFERROR(VLOOKUP(A158,[2]PIVOT!$A$4:$B$388,2,FALSE),"")</f>
        <v/>
      </c>
      <c r="K158" s="19">
        <f>J158/6000</f>
        <v/>
      </c>
      <c r="L158" s="21">
        <f>H158/J158-1</f>
        <v/>
      </c>
      <c r="M158" s="21">
        <f>VLOOKUP(A158,[1]PIVOT!$B$4:$C$400,2,FALSE)</f>
        <v/>
      </c>
      <c r="N158" s="19" t="n"/>
      <c r="Q158" s="20">
        <f>LEN(F158)</f>
        <v/>
      </c>
      <c r="W158" s="20">
        <f>LEN(G158)</f>
        <v/>
      </c>
    </row>
    <row r="159" ht="27" customHeight="1">
      <c r="A159" s="9" t="inlineStr">
        <is>
          <t>233/بئر الزعتري رقم 10</t>
        </is>
      </c>
      <c r="B159" s="10" t="inlineStr">
        <is>
          <t xml:space="preserve"> بئر الزعتري (10)</t>
        </is>
      </c>
      <c r="C159" s="23" t="inlineStr">
        <is>
          <t>AL Za'tary Well 10</t>
        </is>
      </c>
      <c r="D159" s="12" t="inlineStr">
        <is>
          <t>36.314796</t>
        </is>
      </c>
      <c r="E159" s="12" t="inlineStr">
        <is>
          <t>32.262204</t>
        </is>
      </c>
      <c r="H159" s="20">
        <f>IFERROR(VLOOKUP(A159,[1]PIVOT!$B$4:$E$391,3,FALSE),"")</f>
        <v/>
      </c>
      <c r="I159" s="19">
        <f>H159/6000</f>
        <v/>
      </c>
      <c r="J159" s="19">
        <f>IFERROR(VLOOKUP(A159,[2]PIVOT!$A$4:$B$388,2,FALSE),"")</f>
        <v/>
      </c>
      <c r="K159" s="19">
        <f>J159/6000</f>
        <v/>
      </c>
      <c r="L159" s="21">
        <f>H159/J159-1</f>
        <v/>
      </c>
      <c r="M159" s="21">
        <f>VLOOKUP(A159,[1]PIVOT!$B$4:$C$400,2,FALSE)</f>
        <v/>
      </c>
      <c r="N159" s="19" t="n"/>
      <c r="Q159" s="20">
        <f>LEN(F159)</f>
        <v/>
      </c>
      <c r="W159" s="20">
        <f>LEN(G159)</f>
        <v/>
      </c>
    </row>
    <row r="160" ht="27" customHeight="1">
      <c r="A160" s="9" t="inlineStr">
        <is>
          <t>234/محطة ام السرب</t>
        </is>
      </c>
      <c r="B160" s="10" t="inlineStr">
        <is>
          <t xml:space="preserve"> محطة ضخ مياه ام السرب+ بئر (1)&amp;(2)</t>
        </is>
      </c>
      <c r="C160" s="23" t="inlineStr">
        <is>
          <t>Um Es Serb PS</t>
        </is>
      </c>
      <c r="D160" s="12" t="inlineStr">
        <is>
          <t>36.321254</t>
        </is>
      </c>
      <c r="E160" s="12" t="inlineStr">
        <is>
          <t>32.418392</t>
        </is>
      </c>
      <c r="H160" s="20">
        <f>IFERROR(VLOOKUP(A160,[1]PIVOT!$B$4:$E$391,3,FALSE),"")</f>
        <v/>
      </c>
      <c r="I160" s="19">
        <f>H160/6000</f>
        <v/>
      </c>
      <c r="J160" s="19">
        <f>IFERROR(VLOOKUP(A160,[2]PIVOT!$A$4:$B$388,2,FALSE),"")</f>
        <v/>
      </c>
      <c r="K160" s="19">
        <f>J160/6000</f>
        <v/>
      </c>
      <c r="L160" s="21">
        <f>H160/J160-1</f>
        <v/>
      </c>
      <c r="M160" s="21">
        <f>VLOOKUP(A160,[1]PIVOT!$B$4:$C$400,2,FALSE)</f>
        <v/>
      </c>
      <c r="N160" s="19" t="n"/>
      <c r="Q160" s="20">
        <f>LEN(F160)</f>
        <v/>
      </c>
      <c r="W160" s="20">
        <f>LEN(G160)</f>
        <v/>
      </c>
    </row>
    <row r="161" ht="27" customHeight="1">
      <c r="A161" s="9" t="inlineStr">
        <is>
          <t>240/بئر روضة الاميره بسمه</t>
        </is>
      </c>
      <c r="B161" s="10" t="inlineStr">
        <is>
          <t>بئر ومحطة ضخ مياه روضة الاميره بسمه</t>
        </is>
      </c>
      <c r="C161" s="23" t="inlineStr">
        <is>
          <t>Rawdah Ameera Basma  PS &amp; Well</t>
        </is>
      </c>
      <c r="D161" s="11" t="inlineStr">
        <is>
          <t>36.37540074</t>
        </is>
      </c>
      <c r="E161" s="11" t="inlineStr">
        <is>
          <t>32.29249143</t>
        </is>
      </c>
      <c r="H161" s="20">
        <f>IFERROR(VLOOKUP(A161,[1]PIVOT!$B$4:$E$391,3,FALSE),"")</f>
        <v/>
      </c>
      <c r="I161" s="19">
        <f>H161/6000</f>
        <v/>
      </c>
      <c r="J161" s="19">
        <f>IFERROR(VLOOKUP(A161,[2]PIVOT!$A$4:$B$388,2,FALSE),"")</f>
        <v/>
      </c>
      <c r="K161" s="19">
        <f>J161/6000</f>
        <v/>
      </c>
      <c r="L161" s="21">
        <f>H161/J161-1</f>
        <v/>
      </c>
      <c r="M161" s="21">
        <f>VLOOKUP(A161,[1]PIVOT!$B$4:$C$400,2,FALSE)</f>
        <v/>
      </c>
      <c r="N161" s="19" t="n"/>
      <c r="Q161" s="20">
        <f>LEN(F161)</f>
        <v/>
      </c>
      <c r="W161" s="20">
        <f>LEN(G161)</f>
        <v/>
      </c>
    </row>
    <row r="162" ht="27" customHeight="1">
      <c r="A162" s="9" t="inlineStr">
        <is>
          <t>241/محطة ام الجمال</t>
        </is>
      </c>
      <c r="B162" s="10" t="inlineStr">
        <is>
          <t>بئر ام الجمال</t>
        </is>
      </c>
      <c r="C162" s="23" t="inlineStr">
        <is>
          <t>Um AL Jemal Well</t>
        </is>
      </c>
      <c r="D162" s="11" t="inlineStr">
        <is>
          <t>36.35532957</t>
        </is>
      </c>
      <c r="E162" s="11" t="inlineStr">
        <is>
          <t>32.2988245</t>
        </is>
      </c>
      <c r="H162" s="20">
        <f>IFERROR(VLOOKUP(A162,[1]PIVOT!$B$4:$E$391,3,FALSE),"")</f>
        <v/>
      </c>
      <c r="I162" s="19">
        <f>H162/6000</f>
        <v/>
      </c>
      <c r="J162" s="19">
        <f>IFERROR(VLOOKUP(A162,[2]PIVOT!$A$4:$B$388,2,FALSE),"")</f>
        <v/>
      </c>
      <c r="K162" s="19">
        <f>J162/6000</f>
        <v/>
      </c>
      <c r="L162" s="21">
        <f>H162/J162-1</f>
        <v/>
      </c>
      <c r="M162" s="21">
        <f>VLOOKUP(A162,[1]PIVOT!$B$4:$C$400,2,FALSE)</f>
        <v/>
      </c>
      <c r="N162" s="19" t="n"/>
      <c r="Q162" s="20">
        <f>LEN(F162)</f>
        <v/>
      </c>
      <c r="W162" s="20">
        <f>LEN(G162)</f>
        <v/>
      </c>
    </row>
    <row r="163" ht="27" customHeight="1">
      <c r="A163" s="9" t="inlineStr">
        <is>
          <t>242/بئر العاقب ك 90</t>
        </is>
      </c>
      <c r="B163" s="10" t="inlineStr">
        <is>
          <t>بئر العاقب ك 90</t>
        </is>
      </c>
      <c r="C163" s="23" t="inlineStr">
        <is>
          <t>K 90 Well</t>
        </is>
      </c>
      <c r="D163" s="11" t="inlineStr">
        <is>
          <t>36.39183588</t>
        </is>
      </c>
      <c r="E163" s="11" t="inlineStr">
        <is>
          <t>32.28765544</t>
        </is>
      </c>
      <c r="H163" s="20">
        <f>IFERROR(VLOOKUP(A163,[1]PIVOT!$B$4:$E$391,3,FALSE),"")</f>
        <v/>
      </c>
      <c r="I163" s="19">
        <f>H163/6000</f>
        <v/>
      </c>
      <c r="J163" s="19">
        <f>IFERROR(VLOOKUP(A163,[2]PIVOT!$A$4:$B$388,2,FALSE),"")</f>
        <v/>
      </c>
      <c r="K163" s="19">
        <f>J163/6000</f>
        <v/>
      </c>
      <c r="L163" s="21">
        <f>H163/J163-1</f>
        <v/>
      </c>
      <c r="M163" s="21">
        <f>VLOOKUP(A163,[1]PIVOT!$B$4:$C$400,2,FALSE)</f>
        <v/>
      </c>
      <c r="N163" s="19" t="n"/>
      <c r="Q163" s="20">
        <f>LEN(F163)</f>
        <v/>
      </c>
      <c r="W163" s="20">
        <f>LEN(G163)</f>
        <v/>
      </c>
    </row>
    <row r="164" ht="27" customHeight="1">
      <c r="A164" s="9" t="inlineStr">
        <is>
          <t>244/بئر العاقب ك 91.5</t>
        </is>
      </c>
      <c r="B164" s="10" t="inlineStr">
        <is>
          <t>بئر العاقب ك 91.5</t>
        </is>
      </c>
      <c r="C164" s="24" t="e">
        <v>#N/A</v>
      </c>
      <c r="D164" s="11" t="inlineStr">
        <is>
          <t>36.40048047</t>
        </is>
      </c>
      <c r="E164" s="11" t="inlineStr">
        <is>
          <t>32.28487453</t>
        </is>
      </c>
      <c r="H164" s="20">
        <f>IFERROR(VLOOKUP(A164,[1]PIVOT!$B$4:$E$391,3,FALSE),"")</f>
        <v/>
      </c>
      <c r="I164" s="19">
        <f>H164/6000</f>
        <v/>
      </c>
      <c r="J164" s="19">
        <f>IFERROR(VLOOKUP(A164,[2]PIVOT!$A$4:$B$388,2,FALSE),"")</f>
        <v/>
      </c>
      <c r="K164" s="19">
        <f>J164/6000</f>
        <v/>
      </c>
      <c r="L164" s="21">
        <f>H164/J164-1</f>
        <v/>
      </c>
      <c r="M164" s="21">
        <f>VLOOKUP(A164,[1]PIVOT!$B$4:$C$400,2,FALSE)</f>
        <v/>
      </c>
      <c r="N164" s="19" t="n"/>
      <c r="Q164" s="20">
        <f>LEN(F164)</f>
        <v/>
      </c>
      <c r="W164" s="20">
        <f>LEN(G164)</f>
        <v/>
      </c>
    </row>
    <row r="165" ht="27" customHeight="1">
      <c r="A165" s="9" t="inlineStr">
        <is>
          <t>245/بئر العاقب ك 94</t>
        </is>
      </c>
      <c r="B165" s="10" t="inlineStr">
        <is>
          <t>بئر العاقب ك 94</t>
        </is>
      </c>
      <c r="C165" s="23" t="inlineStr">
        <is>
          <t>K094 Well</t>
        </is>
      </c>
      <c r="D165" s="11" t="inlineStr">
        <is>
          <t>36.40538212</t>
        </is>
      </c>
      <c r="E165" s="11" t="inlineStr">
        <is>
          <t>32.26698288</t>
        </is>
      </c>
      <c r="H165" s="20">
        <f>IFERROR(VLOOKUP(A165,[1]PIVOT!$B$4:$E$391,3,FALSE),"")</f>
        <v/>
      </c>
      <c r="I165" s="19">
        <f>H165/6000</f>
        <v/>
      </c>
      <c r="J165" s="19">
        <f>IFERROR(VLOOKUP(A165,[2]PIVOT!$A$4:$B$388,2,FALSE),"")</f>
        <v/>
      </c>
      <c r="K165" s="19">
        <f>J165/6000</f>
        <v/>
      </c>
      <c r="L165" s="21">
        <f>H165/J165-1</f>
        <v/>
      </c>
      <c r="M165" s="21">
        <f>VLOOKUP(A165,[1]PIVOT!$B$4:$C$400,2,FALSE)</f>
        <v/>
      </c>
      <c r="N165" s="19" t="n"/>
      <c r="Q165" s="20">
        <f>LEN(F165)</f>
        <v/>
      </c>
      <c r="W165" s="20">
        <f>LEN(G165)</f>
        <v/>
      </c>
    </row>
    <row r="166" ht="27" customHeight="1">
      <c r="A166" s="9" t="inlineStr">
        <is>
          <t>246/بئر الكوم الاحمر الجديد</t>
        </is>
      </c>
      <c r="B166" s="10" t="inlineStr">
        <is>
          <t xml:space="preserve"> محطة ضخ مياه الكوم الاحمر + بئر (1)</t>
        </is>
      </c>
      <c r="C166" s="23" t="inlineStr">
        <is>
          <t>AL Kum Al Ahmer PS</t>
        </is>
      </c>
      <c r="D166" s="11" t="inlineStr">
        <is>
          <t>36.40063863</t>
        </is>
      </c>
      <c r="E166" s="11" t="inlineStr">
        <is>
          <t>32.36320269</t>
        </is>
      </c>
      <c r="H166" s="20">
        <f>IFERROR(VLOOKUP(A166,[1]PIVOT!$B$4:$E$391,3,FALSE),"")</f>
        <v/>
      </c>
      <c r="I166" s="19">
        <f>H166/6000</f>
        <v/>
      </c>
      <c r="J166" s="19">
        <f>IFERROR(VLOOKUP(A166,[2]PIVOT!$A$4:$B$388,2,FALSE),"")</f>
        <v/>
      </c>
      <c r="K166" s="19">
        <f>J166/6000</f>
        <v/>
      </c>
      <c r="L166" s="21">
        <f>H166/J166-1</f>
        <v/>
      </c>
      <c r="M166" s="21">
        <f>VLOOKUP(A166,[1]PIVOT!$B$4:$C$400,2,FALSE)</f>
        <v/>
      </c>
      <c r="N166" s="19" t="n"/>
      <c r="Q166" s="20">
        <f>LEN(F166)</f>
        <v/>
      </c>
      <c r="W166" s="20">
        <f>LEN(G166)</f>
        <v/>
      </c>
    </row>
    <row r="167" ht="27" customHeight="1">
      <c r="A167" s="9" t="inlineStr">
        <is>
          <t>247/بئر العاقب ك 93</t>
        </is>
      </c>
      <c r="B167" s="10" t="inlineStr">
        <is>
          <t>بئر ومحطة ضخ مياه العاقب ك 93</t>
        </is>
      </c>
      <c r="C167" s="23" t="inlineStr">
        <is>
          <t>K093 PS</t>
        </is>
      </c>
      <c r="D167" s="11" t="inlineStr">
        <is>
          <t>36.4157037</t>
        </is>
      </c>
      <c r="E167" s="11" t="inlineStr">
        <is>
          <t>32.28016837</t>
        </is>
      </c>
      <c r="H167" s="20">
        <f>IFERROR(VLOOKUP(A167,[1]PIVOT!$B$4:$E$391,3,FALSE),"")</f>
        <v/>
      </c>
      <c r="I167" s="19">
        <f>H167/6000</f>
        <v/>
      </c>
      <c r="J167" s="19">
        <f>IFERROR(VLOOKUP(A167,[2]PIVOT!$A$4:$B$388,2,FALSE),"")</f>
        <v/>
      </c>
      <c r="K167" s="19">
        <f>J167/6000</f>
        <v/>
      </c>
      <c r="L167" s="21">
        <f>H167/J167-1</f>
        <v/>
      </c>
      <c r="M167" s="21">
        <f>VLOOKUP(A167,[1]PIVOT!$B$4:$C$400,2,FALSE)</f>
        <v/>
      </c>
      <c r="N167" s="19" t="n"/>
      <c r="Q167" s="20">
        <f>LEN(F167)</f>
        <v/>
      </c>
      <c r="W167" s="20">
        <f>LEN(G167)</f>
        <v/>
      </c>
    </row>
    <row r="168" ht="27" customHeight="1">
      <c r="A168" s="9" t="inlineStr">
        <is>
          <t>248/بئر العاقب ك 93.5</t>
        </is>
      </c>
      <c r="B168" s="10" t="inlineStr">
        <is>
          <t>بئر العاقب ك 93.5</t>
        </is>
      </c>
      <c r="C168" s="23" t="inlineStr">
        <is>
          <t>K093.5 Well</t>
        </is>
      </c>
      <c r="D168" s="11" t="inlineStr">
        <is>
          <t>36.4239833</t>
        </is>
      </c>
      <c r="E168" s="11" t="inlineStr">
        <is>
          <t>32.28028372</t>
        </is>
      </c>
      <c r="H168" s="20">
        <f>IFERROR(VLOOKUP(A168,[1]PIVOT!$B$4:$E$391,3,FALSE),"")</f>
        <v/>
      </c>
      <c r="I168" s="19">
        <f>H168/6000</f>
        <v/>
      </c>
      <c r="J168" s="19">
        <f>IFERROR(VLOOKUP(A168,[2]PIVOT!$A$4:$B$388,2,FALSE),"")</f>
        <v/>
      </c>
      <c r="K168" s="19">
        <f>J168/6000</f>
        <v/>
      </c>
      <c r="L168" s="21">
        <f>H168/J168-1</f>
        <v/>
      </c>
      <c r="M168" s="21">
        <f>VLOOKUP(A168,[1]PIVOT!$B$4:$C$400,2,FALSE)</f>
        <v/>
      </c>
      <c r="N168" s="19" t="n"/>
      <c r="Q168" s="20">
        <f>LEN(F168)</f>
        <v/>
      </c>
      <c r="W168" s="20">
        <f>LEN(G168)</f>
        <v/>
      </c>
    </row>
    <row r="169" ht="27" customHeight="1">
      <c r="A169" s="9" t="inlineStr">
        <is>
          <t>249/بئر العاقب ك 94.5</t>
        </is>
      </c>
      <c r="B169" s="10" t="inlineStr">
        <is>
          <t>بئر العاقب ك 94.5</t>
        </is>
      </c>
      <c r="C169" s="23" t="inlineStr">
        <is>
          <t>Sumaya Well 4</t>
        </is>
      </c>
      <c r="D169" s="12" t="inlineStr">
        <is>
          <t>36.239</t>
        </is>
      </c>
      <c r="E169" s="12" t="inlineStr">
        <is>
          <t>32.4555</t>
        </is>
      </c>
      <c r="H169" s="20">
        <f>IFERROR(VLOOKUP(A169,[1]PIVOT!$B$4:$E$391,3,FALSE),"")</f>
        <v/>
      </c>
      <c r="I169" s="19">
        <f>H169/6000</f>
        <v/>
      </c>
      <c r="J169" s="19">
        <f>IFERROR(VLOOKUP(A169,[2]PIVOT!$A$4:$B$388,2,FALSE),"")</f>
        <v/>
      </c>
      <c r="K169" s="19">
        <f>J169/6000</f>
        <v/>
      </c>
      <c r="L169" s="21">
        <f>H169/J169-1</f>
        <v/>
      </c>
      <c r="M169" s="21">
        <f>VLOOKUP(A169,[1]PIVOT!$B$4:$C$400,2,FALSE)</f>
        <v/>
      </c>
      <c r="N169" s="19" t="n"/>
      <c r="Q169" s="20">
        <f>LEN(F169)</f>
        <v/>
      </c>
      <c r="W169" s="20">
        <f>LEN(G169)</f>
        <v/>
      </c>
    </row>
    <row r="170" ht="27" customHeight="1">
      <c r="A170" s="9" t="inlineStr">
        <is>
          <t>250/بئر العاقب ك 95</t>
        </is>
      </c>
      <c r="B170" s="10" t="inlineStr">
        <is>
          <t>بئر العاقب ك 95</t>
        </is>
      </c>
      <c r="C170" s="23" t="inlineStr">
        <is>
          <t>K095 Well</t>
        </is>
      </c>
      <c r="D170" s="11" t="inlineStr">
        <is>
          <t>36.43383398</t>
        </is>
      </c>
      <c r="E170" s="11" t="inlineStr">
        <is>
          <t>32.26983482</t>
        </is>
      </c>
      <c r="H170" s="20">
        <f>IFERROR(VLOOKUP(A170,[1]PIVOT!$B$4:$E$391,3,FALSE),"")</f>
        <v/>
      </c>
      <c r="I170" s="19">
        <f>H170/6000</f>
        <v/>
      </c>
      <c r="J170" s="19">
        <f>IFERROR(VLOOKUP(A170,[2]PIVOT!$A$4:$B$388,2,FALSE),"")</f>
        <v/>
      </c>
      <c r="K170" s="19">
        <f>J170/6000</f>
        <v/>
      </c>
      <c r="L170" s="21">
        <f>H170/J170-1</f>
        <v/>
      </c>
      <c r="M170" s="21">
        <f>VLOOKUP(A170,[1]PIVOT!$B$4:$C$400,2,FALSE)</f>
        <v/>
      </c>
      <c r="N170" s="19" t="n"/>
      <c r="Q170" s="20">
        <f>LEN(F170)</f>
        <v/>
      </c>
      <c r="W170" s="20">
        <f>LEN(G170)</f>
        <v/>
      </c>
    </row>
    <row r="171" ht="27" customHeight="1">
      <c r="A171" s="9" t="inlineStr">
        <is>
          <t>251/بئر العاقب ك 96</t>
        </is>
      </c>
      <c r="B171" s="10" t="inlineStr">
        <is>
          <t>بئر العاقب ك 96</t>
        </is>
      </c>
      <c r="C171" s="23" t="inlineStr">
        <is>
          <t>K096 PS</t>
        </is>
      </c>
      <c r="D171" s="11" t="inlineStr">
        <is>
          <t>36.44043266</t>
        </is>
      </c>
      <c r="E171" s="11" t="inlineStr">
        <is>
          <t>32.27261481</t>
        </is>
      </c>
      <c r="H171" s="20">
        <f>IFERROR(VLOOKUP(A171,[1]PIVOT!$B$4:$E$391,3,FALSE),"")</f>
        <v/>
      </c>
      <c r="I171" s="19">
        <f>H171/6000</f>
        <v/>
      </c>
      <c r="J171" s="19">
        <f>IFERROR(VLOOKUP(A171,[2]PIVOT!$A$4:$B$388,2,FALSE),"")</f>
        <v/>
      </c>
      <c r="K171" s="19">
        <f>J171/6000</f>
        <v/>
      </c>
      <c r="L171" s="21">
        <f>H171/J171-1</f>
        <v/>
      </c>
      <c r="M171" s="21">
        <f>VLOOKUP(A171,[1]PIVOT!$B$4:$C$400,2,FALSE)</f>
        <v/>
      </c>
      <c r="N171" s="19" t="n"/>
      <c r="Q171" s="20">
        <f>LEN(F171)</f>
        <v/>
      </c>
      <c r="W171" s="20">
        <f>LEN(G171)</f>
        <v/>
      </c>
    </row>
    <row r="172" ht="27" customHeight="1">
      <c r="A172" s="9" t="inlineStr">
        <is>
          <t>252/محطة عمره و عميره</t>
        </is>
      </c>
      <c r="B172" s="10" t="inlineStr">
        <is>
          <t>محطة ضخ مياه عمره وعميره+ بئر (2)</t>
        </is>
      </c>
      <c r="C172" s="23" t="inlineStr">
        <is>
          <t>Amra and Amira Wells &amp; PS</t>
        </is>
      </c>
      <c r="D172" s="11" t="inlineStr">
        <is>
          <t>36.4424048</t>
        </is>
      </c>
      <c r="E172" s="11" t="inlineStr">
        <is>
          <t>32.30907557</t>
        </is>
      </c>
      <c r="H172" s="20">
        <f>IFERROR(VLOOKUP(A172,[1]PIVOT!$B$4:$E$391,3,FALSE),"")</f>
        <v/>
      </c>
      <c r="I172" s="19">
        <f>H172/6000</f>
        <v/>
      </c>
      <c r="J172" s="19">
        <f>IFERROR(VLOOKUP(A172,[2]PIVOT!$A$4:$B$388,2,FALSE),"")</f>
        <v/>
      </c>
      <c r="K172" s="19">
        <f>J172/6000</f>
        <v/>
      </c>
      <c r="L172" s="21">
        <f>H172/J172-1</f>
        <v/>
      </c>
      <c r="M172" s="21">
        <f>VLOOKUP(A172,[1]PIVOT!$B$4:$C$400,2,FALSE)</f>
        <v/>
      </c>
      <c r="N172" s="19" t="n"/>
      <c r="Q172" s="20">
        <f>LEN(F172)</f>
        <v/>
      </c>
      <c r="W172" s="20">
        <f>LEN(G172)</f>
        <v/>
      </c>
    </row>
    <row r="173" ht="27" customHeight="1">
      <c r="A173" s="9" t="inlineStr">
        <is>
          <t>256/بئر العاقب ك 101</t>
        </is>
      </c>
      <c r="B173" s="10" t="inlineStr">
        <is>
          <t>بئر العاقب ك 101</t>
        </is>
      </c>
      <c r="C173" s="23" t="inlineStr">
        <is>
          <t>K101 Well</t>
        </is>
      </c>
      <c r="D173" s="12" t="inlineStr">
        <is>
          <t>36.488584</t>
        </is>
      </c>
      <c r="E173" s="12" t="inlineStr">
        <is>
          <t>32.258047</t>
        </is>
      </c>
      <c r="H173" s="20">
        <f>IFERROR(VLOOKUP(A173,[1]PIVOT!$B$4:$E$391,3,FALSE),"")</f>
        <v/>
      </c>
      <c r="I173" s="19">
        <f>H173/6000</f>
        <v/>
      </c>
      <c r="J173" s="19">
        <f>IFERROR(VLOOKUP(A173,[2]PIVOT!$A$4:$B$388,2,FALSE),"")</f>
        <v/>
      </c>
      <c r="K173" s="19">
        <f>J173/6000</f>
        <v/>
      </c>
      <c r="L173" s="21">
        <f>H173/J173-1</f>
        <v/>
      </c>
      <c r="M173" s="21">
        <f>VLOOKUP(A173,[1]PIVOT!$B$4:$C$400,2,FALSE)</f>
        <v/>
      </c>
      <c r="N173" s="19" t="n"/>
      <c r="Q173" s="20">
        <f>LEN(F173)</f>
        <v/>
      </c>
      <c r="W173" s="20">
        <f>LEN(G173)</f>
        <v/>
      </c>
    </row>
    <row r="174" ht="27" customHeight="1">
      <c r="A174" s="9" t="inlineStr">
        <is>
          <t>257/محطة صبحا و صبحيه</t>
        </is>
      </c>
      <c r="B174" s="10" t="inlineStr">
        <is>
          <t>بئر ومحطة ضخ مياه صبحا وصبحية (1)</t>
        </is>
      </c>
      <c r="C174" s="23" t="inlineStr">
        <is>
          <t>Sabha and Sobheya PS</t>
        </is>
      </c>
      <c r="D174" s="11" t="inlineStr">
        <is>
          <t>36.49865242</t>
        </is>
      </c>
      <c r="E174" s="11" t="inlineStr">
        <is>
          <t>32.3278984</t>
        </is>
      </c>
      <c r="H174" s="20">
        <f>IFERROR(VLOOKUP(A174,[1]PIVOT!$B$4:$E$391,3,FALSE),"")</f>
        <v/>
      </c>
      <c r="I174" s="19">
        <f>H174/6000</f>
        <v/>
      </c>
      <c r="J174" s="19">
        <f>IFERROR(VLOOKUP(A174,[2]PIVOT!$A$4:$B$388,2,FALSE),"")</f>
        <v/>
      </c>
      <c r="K174" s="19">
        <f>J174/6000</f>
        <v/>
      </c>
      <c r="L174" s="21">
        <f>H174/J174-1</f>
        <v/>
      </c>
      <c r="M174" s="21">
        <f>VLOOKUP(A174,[1]PIVOT!$B$4:$C$400,2,FALSE)</f>
        <v/>
      </c>
      <c r="N174" s="19" t="n"/>
      <c r="Q174" s="20">
        <f>LEN(F174)</f>
        <v/>
      </c>
      <c r="W174" s="20">
        <f>LEN(G174)</f>
        <v/>
      </c>
    </row>
    <row r="175" ht="27" customHeight="1">
      <c r="A175" s="9" t="inlineStr">
        <is>
          <t>258/بئر العاقب ك 102</t>
        </is>
      </c>
      <c r="B175" s="10" t="inlineStr">
        <is>
          <t>بئر العاقب ك 102</t>
        </is>
      </c>
      <c r="C175" s="23" t="inlineStr">
        <is>
          <t>K102 Well</t>
        </is>
      </c>
      <c r="D175" s="12" t="inlineStr">
        <is>
          <t>36.4982878</t>
        </is>
      </c>
      <c r="E175" s="12" t="inlineStr">
        <is>
          <t>32.2550514</t>
        </is>
      </c>
      <c r="H175" s="20">
        <f>IFERROR(VLOOKUP(A175,[1]PIVOT!$B$4:$E$391,3,FALSE),"")</f>
        <v/>
      </c>
      <c r="I175" s="19">
        <f>H175/6000</f>
        <v/>
      </c>
      <c r="J175" s="19">
        <f>IFERROR(VLOOKUP(A175,[2]PIVOT!$A$4:$B$388,2,FALSE),"")</f>
        <v/>
      </c>
      <c r="K175" s="19">
        <f>J175/6000</f>
        <v/>
      </c>
      <c r="L175" s="21">
        <f>H175/J175-1</f>
        <v/>
      </c>
      <c r="M175" s="21">
        <f>VLOOKUP(A175,[1]PIVOT!$B$4:$C$400,2,FALSE)</f>
        <v/>
      </c>
      <c r="N175" s="19" t="n"/>
      <c r="Q175" s="20">
        <f>LEN(F175)</f>
        <v/>
      </c>
      <c r="W175" s="20">
        <f>LEN(G175)</f>
        <v/>
      </c>
    </row>
    <row r="176" ht="27" customHeight="1">
      <c r="A176" s="9" t="inlineStr">
        <is>
          <t>261/بئر العاقب -الكيلو 102.5 أ</t>
        </is>
      </c>
      <c r="B176" s="10" t="inlineStr">
        <is>
          <t>بئر العاقب ك 102.5</t>
        </is>
      </c>
      <c r="C176" s="23" t="inlineStr">
        <is>
          <t>K102.5 Well</t>
        </is>
      </c>
      <c r="D176" s="11" t="inlineStr">
        <is>
          <t>36.51305947</t>
        </is>
      </c>
      <c r="E176" s="11" t="inlineStr">
        <is>
          <t>32.25006214</t>
        </is>
      </c>
      <c r="H176" s="20">
        <f>IFERROR(VLOOKUP(A176,[1]PIVOT!$B$4:$E$391,3,FALSE),"")</f>
        <v/>
      </c>
      <c r="I176" s="19">
        <f>H176/6000</f>
        <v/>
      </c>
      <c r="J176" s="19">
        <f>IFERROR(VLOOKUP(A176,[2]PIVOT!$A$4:$B$388,2,FALSE),"")</f>
        <v/>
      </c>
      <c r="K176" s="19">
        <f>J176/6000</f>
        <v/>
      </c>
      <c r="L176" s="21">
        <f>H176/J176-1</f>
        <v/>
      </c>
      <c r="M176" s="21">
        <f>VLOOKUP(A176,[1]PIVOT!$B$4:$C$400,2,FALSE)</f>
        <v/>
      </c>
      <c r="N176" s="19" t="n"/>
      <c r="Q176" s="20">
        <f>LEN(F176)</f>
        <v/>
      </c>
      <c r="W176" s="20">
        <f>LEN(G176)</f>
        <v/>
      </c>
    </row>
    <row r="177" ht="27" customHeight="1">
      <c r="A177" s="9" t="inlineStr">
        <is>
          <t>262/بئر العاقب ك 103</t>
        </is>
      </c>
      <c r="B177" s="10" t="inlineStr">
        <is>
          <t>بئر ومحطة ضخ مياه العاقب ك 103</t>
        </is>
      </c>
      <c r="C177" s="23" t="inlineStr">
        <is>
          <t>K103 PS</t>
        </is>
      </c>
      <c r="D177" s="12" t="inlineStr">
        <is>
          <t>36.523222</t>
        </is>
      </c>
      <c r="E177" s="12" t="inlineStr">
        <is>
          <t>32.247168</t>
        </is>
      </c>
      <c r="H177" s="20">
        <f>IFERROR(VLOOKUP(A177,[1]PIVOT!$B$4:$E$391,3,FALSE),"")</f>
        <v/>
      </c>
      <c r="I177" s="19">
        <f>H177/6000</f>
        <v/>
      </c>
      <c r="J177" s="19">
        <f>IFERROR(VLOOKUP(A177,[2]PIVOT!$A$4:$B$388,2,FALSE),"")</f>
        <v/>
      </c>
      <c r="K177" s="19">
        <f>J177/6000</f>
        <v/>
      </c>
      <c r="L177" s="21">
        <f>H177/J177-1</f>
        <v/>
      </c>
      <c r="M177" s="21">
        <f>VLOOKUP(A177,[1]PIVOT!$B$4:$C$400,2,FALSE)</f>
        <v/>
      </c>
      <c r="N177" s="19" t="n"/>
      <c r="Q177" s="20">
        <f>LEN(F177)</f>
        <v/>
      </c>
      <c r="W177" s="20">
        <f>LEN(G177)</f>
        <v/>
      </c>
    </row>
    <row r="178" ht="27" customHeight="1">
      <c r="A178" s="9" t="inlineStr">
        <is>
          <t>263/بئر العاقب ك 104</t>
        </is>
      </c>
      <c r="B178" s="10" t="inlineStr">
        <is>
          <t>بئر العاقب ك 104</t>
        </is>
      </c>
      <c r="C178" s="23" t="inlineStr">
        <is>
          <t>K104 Well</t>
        </is>
      </c>
      <c r="D178" s="12" t="inlineStr">
        <is>
          <t>36.531699</t>
        </is>
      </c>
      <c r="E178" s="12" t="inlineStr">
        <is>
          <t>32.244367</t>
        </is>
      </c>
      <c r="H178" s="20">
        <f>IFERROR(VLOOKUP(A178,[1]PIVOT!$B$4:$E$391,3,FALSE),"")</f>
        <v/>
      </c>
      <c r="I178" s="19">
        <f>H178/6000</f>
        <v/>
      </c>
      <c r="J178" s="19">
        <f>IFERROR(VLOOKUP(A178,[2]PIVOT!$A$4:$B$388,2,FALSE),"")</f>
        <v/>
      </c>
      <c r="K178" s="19">
        <f>J178/6000</f>
        <v/>
      </c>
      <c r="L178" s="21">
        <f>H178/J178-1</f>
        <v/>
      </c>
      <c r="M178" s="21">
        <f>VLOOKUP(A178,[1]PIVOT!$B$4:$C$400,2,FALSE)</f>
        <v/>
      </c>
      <c r="N178" s="19" t="n"/>
      <c r="Q178" s="20">
        <f>LEN(F178)</f>
        <v/>
      </c>
      <c r="W178" s="20">
        <f>LEN(G178)</f>
        <v/>
      </c>
    </row>
    <row r="179" ht="27" customHeight="1">
      <c r="A179" s="9" t="inlineStr">
        <is>
          <t>264/بئر العاقب ك 106</t>
        </is>
      </c>
      <c r="B179" s="10" t="inlineStr">
        <is>
          <t>بئر العاقب ك 106</t>
        </is>
      </c>
      <c r="C179" s="23" t="inlineStr">
        <is>
          <t>K106 Well</t>
        </is>
      </c>
      <c r="D179" s="12" t="inlineStr">
        <is>
          <t>36.542367</t>
        </is>
      </c>
      <c r="E179" s="12" t="inlineStr">
        <is>
          <t>32.241153</t>
        </is>
      </c>
      <c r="H179" s="20">
        <f>IFERROR(VLOOKUP(A179,[1]PIVOT!$B$4:$E$391,3,FALSE),"")</f>
        <v/>
      </c>
      <c r="I179" s="19">
        <f>H179/6000</f>
        <v/>
      </c>
      <c r="J179" s="19">
        <f>IFERROR(VLOOKUP(A179,[2]PIVOT!$A$4:$B$388,2,FALSE),"")</f>
        <v/>
      </c>
      <c r="K179" s="19">
        <f>J179/6000</f>
        <v/>
      </c>
      <c r="L179" s="21">
        <f>H179/J179-1</f>
        <v/>
      </c>
      <c r="M179" s="21">
        <f>VLOOKUP(A179,[1]PIVOT!$B$4:$C$400,2,FALSE)</f>
        <v/>
      </c>
      <c r="N179" s="19" t="n"/>
      <c r="Q179" s="20">
        <f>LEN(F179)</f>
        <v/>
      </c>
      <c r="W179" s="20">
        <f>LEN(G179)</f>
        <v/>
      </c>
    </row>
    <row r="180" ht="27" customHeight="1">
      <c r="A180" s="9" t="inlineStr">
        <is>
          <t>266/بئر العاقب ك 107</t>
        </is>
      </c>
      <c r="B180" s="10" t="inlineStr">
        <is>
          <t>بئر العاقب ك 107</t>
        </is>
      </c>
      <c r="C180" s="23" t="inlineStr">
        <is>
          <t>K107 Well</t>
        </is>
      </c>
      <c r="D180" s="11" t="inlineStr">
        <is>
          <t>36.56312968</t>
        </is>
      </c>
      <c r="E180" s="11" t="inlineStr">
        <is>
          <t>32.23445596</t>
        </is>
      </c>
      <c r="H180" s="20">
        <f>IFERROR(VLOOKUP(A180,[1]PIVOT!$B$4:$E$391,3,FALSE),"")</f>
        <v/>
      </c>
      <c r="I180" s="19">
        <f>H180/6000</f>
        <v/>
      </c>
      <c r="J180" s="19">
        <f>IFERROR(VLOOKUP(A180,[2]PIVOT!$A$4:$B$388,2,FALSE),"")</f>
        <v/>
      </c>
      <c r="K180" s="19">
        <f>J180/6000</f>
        <v/>
      </c>
      <c r="L180" s="21">
        <f>H180/J180-1</f>
        <v/>
      </c>
      <c r="M180" s="21">
        <f>VLOOKUP(A180,[1]PIVOT!$B$4:$C$400,2,FALSE)</f>
        <v/>
      </c>
      <c r="N180" s="19" t="n"/>
      <c r="Q180" s="20">
        <f>LEN(F180)</f>
        <v/>
      </c>
      <c r="W180" s="20">
        <f>LEN(G180)</f>
        <v/>
      </c>
    </row>
    <row r="181" ht="27" customHeight="1">
      <c r="A181" s="9" t="inlineStr">
        <is>
          <t>267/بئر العاقب ك 109</t>
        </is>
      </c>
      <c r="B181" s="10" t="inlineStr">
        <is>
          <t>بئر العاقب ك 109</t>
        </is>
      </c>
      <c r="C181" s="23" t="inlineStr">
        <is>
          <t>K110 Well</t>
        </is>
      </c>
      <c r="D181" s="11" t="inlineStr">
        <is>
          <t>36.58900415</t>
        </is>
      </c>
      <c r="E181" s="11" t="inlineStr">
        <is>
          <t>32.22674857</t>
        </is>
      </c>
      <c r="H181" s="20">
        <f>IFERROR(VLOOKUP(A181,[1]PIVOT!$B$4:$E$391,3,FALSE),"")</f>
        <v/>
      </c>
      <c r="I181" s="19">
        <f>H181/6000</f>
        <v/>
      </c>
      <c r="J181" s="19">
        <f>IFERROR(VLOOKUP(A181,[2]PIVOT!$A$4:$B$388,2,FALSE),"")</f>
        <v/>
      </c>
      <c r="K181" s="19">
        <f>J181/6000</f>
        <v/>
      </c>
      <c r="L181" s="21">
        <f>H181/J181-1</f>
        <v/>
      </c>
      <c r="M181" s="21">
        <f>VLOOKUP(A181,[1]PIVOT!$B$4:$C$400,2,FALSE)</f>
        <v/>
      </c>
      <c r="N181" s="19" t="n"/>
      <c r="Q181" s="20">
        <f>LEN(F181)</f>
        <v/>
      </c>
      <c r="W181" s="20">
        <f>LEN(G181)</f>
        <v/>
      </c>
    </row>
    <row r="182" ht="27" customHeight="1">
      <c r="A182" s="9" t="inlineStr">
        <is>
          <t>269/بئر العاقب ك 110</t>
        </is>
      </c>
      <c r="B182" s="10" t="inlineStr">
        <is>
          <t>بئر العاقب ك 110</t>
        </is>
      </c>
      <c r="C182" s="23" t="inlineStr">
        <is>
          <t>K110 Well</t>
        </is>
      </c>
      <c r="D182" s="12" t="inlineStr">
        <is>
          <t>36.589032</t>
        </is>
      </c>
      <c r="E182" s="12" t="inlineStr">
        <is>
          <t>32.226655</t>
        </is>
      </c>
      <c r="H182" s="20">
        <f>IFERROR(VLOOKUP(A182,[1]PIVOT!$B$4:$E$391,3,FALSE),"")</f>
        <v/>
      </c>
      <c r="I182" s="19">
        <f>H182/6000</f>
        <v/>
      </c>
      <c r="J182" s="19">
        <f>IFERROR(VLOOKUP(A182,[2]PIVOT!$A$4:$B$388,2,FALSE),"")</f>
        <v/>
      </c>
      <c r="K182" s="19">
        <f>J182/6000</f>
        <v/>
      </c>
      <c r="L182" s="21">
        <f>H182/J182-1</f>
        <v/>
      </c>
      <c r="M182" s="21">
        <f>VLOOKUP(A182,[1]PIVOT!$B$4:$C$400,2,FALSE)</f>
        <v/>
      </c>
      <c r="N182" s="19" t="n"/>
      <c r="Q182" s="20">
        <f>LEN(F182)</f>
        <v/>
      </c>
      <c r="W182" s="20">
        <f>LEN(G182)</f>
        <v/>
      </c>
    </row>
    <row r="183" ht="27" customHeight="1">
      <c r="A183" s="9" t="inlineStr">
        <is>
          <t>270/بئر العاقب -الكيلو 111 أ</t>
        </is>
      </c>
      <c r="B183" s="10" t="inlineStr">
        <is>
          <t>بئر ومحطة ضخ مياه العاقب ك 111</t>
        </is>
      </c>
      <c r="C183" s="23" t="inlineStr">
        <is>
          <t>K111 PS</t>
        </is>
      </c>
      <c r="D183" s="11" t="inlineStr">
        <is>
          <t>36.59541278</t>
        </is>
      </c>
      <c r="E183" s="11" t="inlineStr">
        <is>
          <t>32.22451511</t>
        </is>
      </c>
      <c r="H183" s="20">
        <f>IFERROR(VLOOKUP(A183,[1]PIVOT!$B$4:$E$391,3,FALSE),"")</f>
        <v/>
      </c>
      <c r="I183" s="19">
        <f>H183/6000</f>
        <v/>
      </c>
      <c r="J183" s="19">
        <f>IFERROR(VLOOKUP(A183,[2]PIVOT!$A$4:$B$388,2,FALSE),"")</f>
        <v/>
      </c>
      <c r="K183" s="19">
        <f>J183/6000</f>
        <v/>
      </c>
      <c r="L183" s="21">
        <f>H183/J183-1</f>
        <v/>
      </c>
      <c r="M183" s="21">
        <f>VLOOKUP(A183,[1]PIVOT!$B$4:$C$400,2,FALSE)</f>
        <v/>
      </c>
      <c r="N183" s="19" t="n"/>
      <c r="Q183" s="20">
        <f>LEN(F183)</f>
        <v/>
      </c>
      <c r="W183" s="20">
        <f>LEN(G183)</f>
        <v/>
      </c>
    </row>
    <row r="184" ht="27" customHeight="1">
      <c r="A184" s="9" t="inlineStr">
        <is>
          <t>271/بئر العاقب ك 112</t>
        </is>
      </c>
      <c r="B184" s="10" t="inlineStr">
        <is>
          <t>بئر العاقب ك 112</t>
        </is>
      </c>
      <c r="C184" s="30" t="inlineStr">
        <is>
          <t>K112 Well , K112 B Well</t>
        </is>
      </c>
      <c r="D184" s="11" t="inlineStr">
        <is>
          <t>36.6038</t>
        </is>
      </c>
      <c r="E184" s="11" t="inlineStr">
        <is>
          <t>32.222</t>
        </is>
      </c>
      <c r="H184" s="20">
        <f>IFERROR(VLOOKUP(A184,[1]PIVOT!$B$4:$E$391,3,FALSE),"")</f>
        <v/>
      </c>
      <c r="I184" s="19">
        <f>H184/6000</f>
        <v/>
      </c>
      <c r="J184" s="19">
        <f>IFERROR(VLOOKUP(A184,[2]PIVOT!$A$4:$B$388,2,FALSE),"")</f>
        <v/>
      </c>
      <c r="K184" s="19">
        <f>J184/6000</f>
        <v/>
      </c>
      <c r="L184" s="21">
        <f>H184/J184-1</f>
        <v/>
      </c>
      <c r="M184" s="21">
        <f>VLOOKUP(A184,[1]PIVOT!$B$4:$C$400,2,FALSE)</f>
        <v/>
      </c>
      <c r="N184" s="19" t="n"/>
      <c r="Q184" s="20">
        <f>LEN(F184)</f>
        <v/>
      </c>
      <c r="W184" s="20">
        <f>LEN(G184)</f>
        <v/>
      </c>
    </row>
    <row r="185" ht="27" customHeight="1">
      <c r="A185" s="9" t="inlineStr">
        <is>
          <t>272/بئر العاقب ك 114</t>
        </is>
      </c>
      <c r="B185" s="10" t="inlineStr">
        <is>
          <t>بئر العاقب ك 114</t>
        </is>
      </c>
      <c r="C185" s="23" t="inlineStr">
        <is>
          <t>K114 Well</t>
        </is>
      </c>
      <c r="D185" s="11" t="inlineStr">
        <is>
          <t>36.62520544</t>
        </is>
      </c>
      <c r="E185" s="11" t="inlineStr">
        <is>
          <t>32.21514347</t>
        </is>
      </c>
      <c r="H185" s="20">
        <f>IFERROR(VLOOKUP(A185,[1]PIVOT!$B$4:$E$391,3,FALSE),"")</f>
        <v/>
      </c>
      <c r="I185" s="19">
        <f>H185/6000</f>
        <v/>
      </c>
      <c r="J185" s="19">
        <f>IFERROR(VLOOKUP(A185,[2]PIVOT!$A$4:$B$388,2,FALSE),"")</f>
        <v/>
      </c>
      <c r="K185" s="19">
        <f>J185/6000</f>
        <v/>
      </c>
      <c r="L185" s="21">
        <f>H185/J185-1</f>
        <v/>
      </c>
      <c r="M185" s="21">
        <f>VLOOKUP(A185,[1]PIVOT!$B$4:$C$400,2,FALSE)</f>
        <v/>
      </c>
      <c r="N185" s="19" t="n"/>
      <c r="Q185" s="20">
        <f>LEN(F185)</f>
        <v/>
      </c>
      <c r="W185" s="20">
        <f>LEN(G185)</f>
        <v/>
      </c>
    </row>
    <row r="186" ht="27" customHeight="1">
      <c r="A186" s="9" t="inlineStr">
        <is>
          <t>273/محطة مكيفته</t>
        </is>
      </c>
      <c r="B186" s="10" t="inlineStr">
        <is>
          <t>محطة ضخ مياه المكيفته+ بئر (1)&amp;(3)</t>
        </is>
      </c>
      <c r="C186" s="30" t="inlineStr">
        <is>
          <t>Mukefteh PS , Mukefteh  Well01</t>
        </is>
      </c>
      <c r="D186" s="11" t="inlineStr">
        <is>
          <t>36.6624645</t>
        </is>
      </c>
      <c r="E186" s="11" t="inlineStr">
        <is>
          <t>32.28513596</t>
        </is>
      </c>
      <c r="F186" s="20" t="n"/>
      <c r="G186" s="20" t="n"/>
      <c r="H186" s="20">
        <f>IFERROR(VLOOKUP(A186,[1]PIVOT!$B$4:$E$391,3,FALSE),"")</f>
        <v/>
      </c>
      <c r="I186" s="19">
        <f>H186/6000</f>
        <v/>
      </c>
      <c r="J186" s="19">
        <f>IFERROR(VLOOKUP(A186,[2]PIVOT!$A$4:$B$388,2,FALSE),"")</f>
        <v/>
      </c>
      <c r="K186" s="19">
        <f>J186/6000</f>
        <v/>
      </c>
      <c r="L186" s="21">
        <f>H186/J186-1</f>
        <v/>
      </c>
      <c r="M186" s="21">
        <f>VLOOKUP(A186,[1]PIVOT!$B$4:$C$400,2,FALSE)</f>
        <v/>
      </c>
      <c r="N186" s="19" t="n"/>
      <c r="Q186" s="20">
        <f>LEN(F186)</f>
        <v/>
      </c>
      <c r="W186" s="20">
        <f>LEN(G186)</f>
        <v/>
      </c>
    </row>
    <row r="187" ht="27" customHeight="1">
      <c r="A187" s="9" t="inlineStr">
        <is>
          <t>274/بئر ك 124</t>
        </is>
      </c>
      <c r="B187" s="10" t="inlineStr">
        <is>
          <t>بئر ومحطة ضخ مياه العاقب ك 124</t>
        </is>
      </c>
      <c r="C187" s="23" t="inlineStr">
        <is>
          <t>K124 &amp; PS</t>
        </is>
      </c>
      <c r="D187" s="11" t="inlineStr">
        <is>
          <t>36.71840357</t>
        </is>
      </c>
      <c r="E187" s="11" t="inlineStr">
        <is>
          <t>32.1854521</t>
        </is>
      </c>
      <c r="H187" s="20">
        <f>IFERROR(VLOOKUP(A187,[1]PIVOT!$B$4:$E$391,3,FALSE),"")</f>
        <v/>
      </c>
      <c r="I187" s="19">
        <f>H187/6000</f>
        <v/>
      </c>
      <c r="J187" s="19">
        <f>IFERROR(VLOOKUP(A187,[2]PIVOT!$A$4:$B$388,2,FALSE),"")</f>
        <v/>
      </c>
      <c r="K187" s="19">
        <f>J187/6000</f>
        <v/>
      </c>
      <c r="L187" s="21">
        <f>H187/J187-1</f>
        <v/>
      </c>
      <c r="M187" s="21">
        <f>VLOOKUP(A187,[1]PIVOT!$B$4:$C$400,2,FALSE)</f>
        <v/>
      </c>
      <c r="N187" s="19" t="n"/>
      <c r="Q187" s="20">
        <f>LEN(F187)</f>
        <v/>
      </c>
      <c r="W187" s="20">
        <f>LEN(G187)</f>
        <v/>
      </c>
    </row>
    <row r="188" ht="27" customHeight="1">
      <c r="A188" s="9" t="inlineStr">
        <is>
          <t>275/محطة لرفاعيات</t>
        </is>
      </c>
      <c r="B188" s="10" t="inlineStr">
        <is>
          <t>بئر ومحطة ضخ مياه الرفاعيات (1أ)</t>
        </is>
      </c>
      <c r="C188" s="23" t="inlineStr">
        <is>
          <t>Al Rafayyat PS</t>
        </is>
      </c>
      <c r="D188" s="12" t="inlineStr">
        <is>
          <t>36.738904</t>
        </is>
      </c>
      <c r="E188" s="12" t="inlineStr">
        <is>
          <t>32.259007</t>
        </is>
      </c>
      <c r="H188" s="20">
        <f>IFERROR(VLOOKUP(A188,[1]PIVOT!$B$4:$E$391,3,FALSE),"")</f>
        <v/>
      </c>
      <c r="I188" s="19">
        <f>H188/6000</f>
        <v/>
      </c>
      <c r="J188" s="19">
        <f>IFERROR(VLOOKUP(A188,[2]PIVOT!$A$4:$B$388,2,FALSE),"")</f>
        <v/>
      </c>
      <c r="K188" s="19">
        <f>J188/6000</f>
        <v/>
      </c>
      <c r="L188" s="21">
        <f>H188/J188-1</f>
        <v/>
      </c>
      <c r="M188" s="21">
        <f>VLOOKUP(A188,[1]PIVOT!$B$4:$C$400,2,FALSE)</f>
        <v/>
      </c>
      <c r="N188" s="19" t="n"/>
      <c r="Q188" s="20">
        <f>LEN(F188)</f>
        <v/>
      </c>
      <c r="W188" s="20">
        <f>LEN(G188)</f>
        <v/>
      </c>
    </row>
    <row r="189" ht="27" customHeight="1">
      <c r="A189" s="9" t="inlineStr">
        <is>
          <t>278/بئر ك 134</t>
        </is>
      </c>
      <c r="B189" s="10" t="inlineStr">
        <is>
          <t>بئر العاقب ك 134</t>
        </is>
      </c>
      <c r="C189" s="23" t="inlineStr">
        <is>
          <t>K134 Well</t>
        </is>
      </c>
      <c r="D189" s="11" t="inlineStr">
        <is>
          <t>36.8246</t>
        </is>
      </c>
      <c r="E189" s="11" t="inlineStr">
        <is>
          <t>32.1535</t>
        </is>
      </c>
      <c r="H189" s="20">
        <f>IFERROR(VLOOKUP(A189,[1]PIVOT!$B$4:$E$391,3,FALSE),"")</f>
        <v/>
      </c>
      <c r="I189" s="19">
        <f>H189/6000</f>
        <v/>
      </c>
      <c r="J189" s="19">
        <f>IFERROR(VLOOKUP(A189,[2]PIVOT!$A$4:$B$388,2,FALSE),"")</f>
        <v/>
      </c>
      <c r="K189" s="19">
        <f>J189/6000</f>
        <v/>
      </c>
      <c r="L189" s="21">
        <f>H189/J189-1</f>
        <v/>
      </c>
      <c r="M189" s="21">
        <f>VLOOKUP(A189,[1]PIVOT!$B$4:$C$400,2,FALSE)</f>
        <v/>
      </c>
      <c r="N189" s="19" t="n"/>
      <c r="Q189" s="20">
        <f>LEN(F189)</f>
        <v/>
      </c>
      <c r="W189" s="20">
        <f>LEN(G189)</f>
        <v/>
      </c>
    </row>
    <row r="190" ht="27" customHeight="1">
      <c r="A190" s="9" t="inlineStr">
        <is>
          <t>279/محطة ك 134(البشري)</t>
        </is>
      </c>
      <c r="B190" s="10" t="inlineStr">
        <is>
          <t xml:space="preserve"> محطة ضخ مياه البشرية</t>
        </is>
      </c>
      <c r="C190" s="23" t="inlineStr">
        <is>
          <t>Beshryyeh PS</t>
        </is>
      </c>
      <c r="D190" s="11" t="inlineStr">
        <is>
          <t>36.82583135</t>
        </is>
      </c>
      <c r="E190" s="11" t="inlineStr">
        <is>
          <t>32.15260757</t>
        </is>
      </c>
      <c r="H190" s="20">
        <f>IFERROR(VLOOKUP(A190,[1]PIVOT!$B$4:$E$391,3,FALSE),"")</f>
        <v/>
      </c>
      <c r="I190" s="19">
        <f>H190/6000</f>
        <v/>
      </c>
      <c r="J190" s="19">
        <f>IFERROR(VLOOKUP(A190,[2]PIVOT!$A$4:$B$388,2,FALSE),"")</f>
        <v/>
      </c>
      <c r="K190" s="19">
        <f>J190/6000</f>
        <v/>
      </c>
      <c r="L190" s="21">
        <f>H190/J190-1</f>
        <v/>
      </c>
      <c r="M190" s="21">
        <f>VLOOKUP(A190,[1]PIVOT!$B$4:$C$400,2,FALSE)</f>
        <v/>
      </c>
      <c r="N190" s="19" t="n"/>
      <c r="Q190" s="20">
        <f>LEN(F190)</f>
        <v/>
      </c>
      <c r="W190" s="20">
        <f>LEN(G190)</f>
        <v/>
      </c>
    </row>
    <row r="191" ht="27" customHeight="1">
      <c r="A191" s="9" t="inlineStr">
        <is>
          <t>280/بئر ك 136</t>
        </is>
      </c>
      <c r="B191" s="10" t="inlineStr">
        <is>
          <t>بئر العاقب ك 136</t>
        </is>
      </c>
      <c r="C191" s="23" t="inlineStr">
        <is>
          <t>K136 Well</t>
        </is>
      </c>
      <c r="D191" s="12" t="inlineStr">
        <is>
          <t>36.841694</t>
        </is>
      </c>
      <c r="E191" s="12" t="inlineStr">
        <is>
          <t>32.148146</t>
        </is>
      </c>
      <c r="H191" s="20">
        <f>IFERROR(VLOOKUP(A191,[1]PIVOT!$B$4:$E$391,3,FALSE),"")</f>
        <v/>
      </c>
      <c r="I191" s="19">
        <f>H191/6000</f>
        <v/>
      </c>
      <c r="J191" s="19">
        <f>IFERROR(VLOOKUP(A191,[2]PIVOT!$A$4:$B$388,2,FALSE),"")</f>
        <v/>
      </c>
      <c r="K191" s="19">
        <f>J191/6000</f>
        <v/>
      </c>
      <c r="L191" s="21">
        <f>H191/J191-1</f>
        <v/>
      </c>
      <c r="M191" s="21">
        <f>VLOOKUP(A191,[1]PIVOT!$B$4:$C$400,2,FALSE)</f>
        <v/>
      </c>
      <c r="N191" s="19" t="n"/>
      <c r="Q191" s="20">
        <f>LEN(F191)</f>
        <v/>
      </c>
      <c r="W191" s="20">
        <f>LEN(G191)</f>
        <v/>
      </c>
    </row>
    <row r="192" ht="27" customHeight="1">
      <c r="A192" s="9" t="inlineStr">
        <is>
          <t>281/محطة دير الكهف</t>
        </is>
      </c>
      <c r="B192" s="10" t="inlineStr">
        <is>
          <t>محطة ضخ مياه دير الكهف</t>
        </is>
      </c>
      <c r="C192" s="23" t="inlineStr">
        <is>
          <t>Dir Al Kahf PS</t>
        </is>
      </c>
      <c r="D192" s="11" t="inlineStr">
        <is>
          <t>36.8483</t>
        </is>
      </c>
      <c r="E192" s="11" t="inlineStr">
        <is>
          <t>32.2843</t>
        </is>
      </c>
      <c r="H192" s="20">
        <f>IFERROR(VLOOKUP(A192,[1]PIVOT!$B$4:$E$391,3,FALSE),"")</f>
        <v/>
      </c>
      <c r="I192" s="19">
        <f>H192/6000</f>
        <v/>
      </c>
      <c r="J192" s="19">
        <f>IFERROR(VLOOKUP(A192,[2]PIVOT!$A$4:$B$388,2,FALSE),"")</f>
        <v/>
      </c>
      <c r="K192" s="19">
        <f>J192/6000</f>
        <v/>
      </c>
      <c r="L192" s="21">
        <f>H192/J192-1</f>
        <v/>
      </c>
      <c r="M192" s="21">
        <f>VLOOKUP(A192,[1]PIVOT!$B$4:$C$400,2,FALSE)</f>
        <v/>
      </c>
      <c r="N192" s="19" t="n"/>
      <c r="Q192" s="20">
        <f>LEN(F192)</f>
        <v/>
      </c>
      <c r="W192" s="20">
        <f>LEN(G192)</f>
        <v/>
      </c>
    </row>
    <row r="193" ht="27" customHeight="1">
      <c r="A193" s="9" t="inlineStr">
        <is>
          <t>282/بئر ك 140</t>
        </is>
      </c>
      <c r="B193" s="10" t="inlineStr">
        <is>
          <t>بئر ومحطة ضخ مياه ك 140</t>
        </is>
      </c>
      <c r="C193" s="23" t="inlineStr">
        <is>
          <t>K140 PS</t>
        </is>
      </c>
      <c r="D193" s="11" t="inlineStr">
        <is>
          <t>36.8836</t>
        </is>
      </c>
      <c r="E193" s="11" t="inlineStr">
        <is>
          <t>32.1342</t>
        </is>
      </c>
      <c r="H193" s="20">
        <f>IFERROR(VLOOKUP(A193,[1]PIVOT!$B$4:$E$391,3,FALSE),"")</f>
        <v/>
      </c>
      <c r="I193" s="19">
        <f>H193/6000</f>
        <v/>
      </c>
      <c r="J193" s="19">
        <f>IFERROR(VLOOKUP(A193,[2]PIVOT!$A$4:$B$388,2,FALSE),"")</f>
        <v/>
      </c>
      <c r="K193" s="19">
        <f>J193/6000</f>
        <v/>
      </c>
      <c r="L193" s="21">
        <f>H193/J193-1</f>
        <v/>
      </c>
      <c r="M193" s="21">
        <f>VLOOKUP(A193,[1]PIVOT!$B$4:$C$400,2,FALSE)</f>
        <v/>
      </c>
      <c r="N193" s="19" t="n"/>
      <c r="Q193" s="20">
        <f>LEN(F193)</f>
        <v/>
      </c>
      <c r="W193" s="20">
        <f>LEN(G193)</f>
        <v/>
      </c>
    </row>
    <row r="194" ht="27" customHeight="1">
      <c r="A194" s="9" t="inlineStr">
        <is>
          <t>302/بئر الخالديه رقم 30</t>
        </is>
      </c>
      <c r="B194" s="10" t="inlineStr">
        <is>
          <t>بئر الخالدية (30)</t>
        </is>
      </c>
      <c r="C194" s="23" t="inlineStr">
        <is>
          <t>Khaldyeh Well  30</t>
        </is>
      </c>
      <c r="D194" s="12" t="inlineStr">
        <is>
          <t>36.323442</t>
        </is>
      </c>
      <c r="E194" s="12" t="inlineStr">
        <is>
          <t>32.166038</t>
        </is>
      </c>
      <c r="H194" s="20">
        <f>IFERROR(VLOOKUP(A194,[1]PIVOT!$B$4:$E$391,3,FALSE),"")</f>
        <v/>
      </c>
      <c r="I194" s="19">
        <f>H194/6000</f>
        <v/>
      </c>
      <c r="J194" s="19">
        <f>IFERROR(VLOOKUP(A194,[2]PIVOT!$A$4:$B$388,2,FALSE),"")</f>
        <v/>
      </c>
      <c r="K194" s="19">
        <f>J194/6000</f>
        <v/>
      </c>
      <c r="L194" s="21">
        <f>H194/J194-1</f>
        <v/>
      </c>
      <c r="M194" s="21">
        <f>VLOOKUP(A194,[1]PIVOT!$B$4:$C$400,2,FALSE)</f>
        <v/>
      </c>
      <c r="N194" s="19" t="n"/>
      <c r="Q194" s="20">
        <f>LEN(F194)</f>
        <v/>
      </c>
      <c r="W194" s="20">
        <f>LEN(G194)</f>
        <v/>
      </c>
    </row>
    <row r="195" ht="27" customHeight="1">
      <c r="A195" s="9" t="inlineStr">
        <is>
          <t>321/مبنى قصبة اربد 1</t>
        </is>
      </c>
      <c r="B195" s="10" t="inlineStr">
        <is>
          <t>شركة مياه اليرموك- ادارة مياه محافظة اربد- مديرية مياه قصبة اربد- اشتراك (1)</t>
        </is>
      </c>
      <c r="C195" s="23" t="inlineStr">
        <is>
          <t>Irbid ROU Office</t>
        </is>
      </c>
      <c r="D195" s="13" t="inlineStr">
        <is>
          <t>35.8597</t>
        </is>
      </c>
      <c r="E195" s="13" t="inlineStr">
        <is>
          <t>32.5492</t>
        </is>
      </c>
      <c r="H195" s="20">
        <f>IFERROR(VLOOKUP(A195,[1]PIVOT!$B$4:$E$391,3,FALSE),"")</f>
        <v/>
      </c>
      <c r="I195" s="19">
        <f>H195/6000</f>
        <v/>
      </c>
      <c r="J195" s="19">
        <f>IFERROR(VLOOKUP(A195,[2]PIVOT!$A$4:$B$388,2,FALSE),"")</f>
        <v/>
      </c>
      <c r="K195" s="19">
        <f>J195/6000</f>
        <v/>
      </c>
      <c r="L195" s="21">
        <f>H195/J195-1</f>
        <v/>
      </c>
      <c r="M195" s="21">
        <f>VLOOKUP(A195,[1]PIVOT!$B$4:$C$400,2,FALSE)</f>
        <v/>
      </c>
      <c r="N195" s="19" t="n"/>
      <c r="Q195" s="20">
        <f>LEN(F195)</f>
        <v/>
      </c>
      <c r="W195" s="20">
        <f>LEN(G195)</f>
        <v/>
      </c>
    </row>
    <row r="196" ht="27" customHeight="1">
      <c r="A196" s="9" t="inlineStr">
        <is>
          <t>321/مبنى قصبة اربد 2</t>
        </is>
      </c>
      <c r="B196" s="10" t="inlineStr">
        <is>
          <t>شركة مياه اليرموك- ادارة مياه محافظة اربد- مديرية مياه قصبة اربد- اشتراك (2)</t>
        </is>
      </c>
      <c r="C196" s="23" t="inlineStr">
        <is>
          <t>Irbid ROU Office</t>
        </is>
      </c>
      <c r="D196" s="12" t="inlineStr">
        <is>
          <t>35.8597</t>
        </is>
      </c>
      <c r="E196" s="12" t="inlineStr">
        <is>
          <t>32.5492</t>
        </is>
      </c>
      <c r="H196" s="20">
        <f>IFERROR(VLOOKUP(A196,[1]PIVOT!$B$4:$E$391,3,FALSE),"")</f>
        <v/>
      </c>
      <c r="I196" s="19">
        <f>H196/6000</f>
        <v/>
      </c>
      <c r="J196" s="19">
        <f>IFERROR(VLOOKUP(A196,[2]PIVOT!$A$4:$B$388,2,FALSE),"")</f>
        <v/>
      </c>
      <c r="K196" s="19">
        <f>J196/6000</f>
        <v/>
      </c>
      <c r="L196" s="21">
        <f>H196/J196-1</f>
        <v/>
      </c>
      <c r="M196" s="21">
        <f>VLOOKUP(A196,[1]PIVOT!$B$4:$C$400,2,FALSE)</f>
        <v/>
      </c>
      <c r="N196" s="19" t="n"/>
      <c r="Q196" s="20">
        <f>LEN(F196)</f>
        <v/>
      </c>
      <c r="W196" s="20">
        <f>LEN(G196)</f>
        <v/>
      </c>
    </row>
    <row r="197" ht="27" customHeight="1">
      <c r="A197" s="9" t="inlineStr">
        <is>
          <t>321/مبنى قصبة اربد 3</t>
        </is>
      </c>
      <c r="B197" s="10" t="inlineStr">
        <is>
          <t>شركة مياه اليرموك- ادارة مياه محافظة اربد- مديرية مياه قصبة اربد- اشتراك (3)</t>
        </is>
      </c>
      <c r="C197" s="23" t="inlineStr">
        <is>
          <t>Irbid ROU Office</t>
        </is>
      </c>
      <c r="D197" s="11" t="inlineStr">
        <is>
          <t>35.8599</t>
        </is>
      </c>
      <c r="E197" s="11" t="inlineStr">
        <is>
          <t>32.5492</t>
        </is>
      </c>
      <c r="H197" s="20">
        <f>IFERROR(VLOOKUP(A197,[1]PIVOT!$B$4:$E$391,3,FALSE),"")</f>
        <v/>
      </c>
      <c r="I197" s="19">
        <f>H197/6000</f>
        <v/>
      </c>
      <c r="J197" s="19">
        <f>IFERROR(VLOOKUP(A197,[2]PIVOT!$A$4:$B$388,2,FALSE),"")</f>
        <v/>
      </c>
      <c r="K197" s="19">
        <f>J197/6000</f>
        <v/>
      </c>
      <c r="L197" s="21">
        <f>H197/J197-1</f>
        <v/>
      </c>
      <c r="M197" s="21">
        <f>VLOOKUP(A197,[1]PIVOT!$B$4:$C$400,2,FALSE)</f>
        <v/>
      </c>
      <c r="N197" s="19" t="n"/>
      <c r="Q197" s="20">
        <f>LEN(F197)</f>
        <v/>
      </c>
      <c r="W197" s="20">
        <f>LEN(G197)</f>
        <v/>
      </c>
    </row>
    <row r="198" ht="27" customHeight="1">
      <c r="A198" s="9" t="inlineStr">
        <is>
          <t>321/مبنى قصبة اربد 4</t>
        </is>
      </c>
      <c r="B198" s="10" t="inlineStr">
        <is>
          <t>شركة مياه اليرموك- ادارة مياه محافظة اربد- مديرية مياه قصبة اربد- اشتراك (4)</t>
        </is>
      </c>
      <c r="C198" s="23" t="inlineStr">
        <is>
          <t>Irbid ROU Office</t>
        </is>
      </c>
      <c r="D198" s="11" t="inlineStr">
        <is>
          <t>35.8597</t>
        </is>
      </c>
      <c r="E198" s="11" t="inlineStr">
        <is>
          <t>32.5491</t>
        </is>
      </c>
      <c r="H198" s="20">
        <f>IFERROR(VLOOKUP(A198,[1]PIVOT!$B$4:$E$391,3,FALSE),"")</f>
        <v/>
      </c>
      <c r="I198" s="19">
        <f>H198/6000</f>
        <v/>
      </c>
      <c r="J198" s="19">
        <f>IFERROR(VLOOKUP(A198,[2]PIVOT!$A$4:$B$388,2,FALSE),"")</f>
        <v/>
      </c>
      <c r="K198" s="19">
        <f>J198/6000</f>
        <v/>
      </c>
      <c r="L198" s="21">
        <f>H198/J198-1</f>
        <v/>
      </c>
      <c r="M198" s="21">
        <f>VLOOKUP(A198,[1]PIVOT!$B$4:$C$400,2,FALSE)</f>
        <v/>
      </c>
      <c r="N198" s="19" t="n"/>
      <c r="Q198" s="20">
        <f>LEN(F198)</f>
        <v/>
      </c>
      <c r="W198" s="20">
        <f>LEN(G198)</f>
        <v/>
      </c>
    </row>
    <row r="199" ht="27" customHeight="1">
      <c r="A199" s="9" t="inlineStr">
        <is>
          <t>321/مبنى قصبة اربد 5</t>
        </is>
      </c>
      <c r="B199" s="10" t="inlineStr">
        <is>
          <t>شركة مياه اليرموك- ادارة مياه محافظة اربد- مديرية مياه قصبة اربد- اشتراك (5)</t>
        </is>
      </c>
      <c r="C199" s="23" t="inlineStr">
        <is>
          <t>Irbid ROU Office</t>
        </is>
      </c>
      <c r="D199" s="11" t="inlineStr">
        <is>
          <t>35.86</t>
        </is>
      </c>
      <c r="E199" s="11" t="inlineStr">
        <is>
          <t>32.5492</t>
        </is>
      </c>
      <c r="H199" s="20">
        <f>IFERROR(VLOOKUP(A199,[1]PIVOT!$B$4:$E$391,3,FALSE),"")</f>
        <v/>
      </c>
      <c r="I199" s="19">
        <f>H199/6000</f>
        <v/>
      </c>
      <c r="J199" s="19">
        <f>IFERROR(VLOOKUP(A199,[2]PIVOT!$A$4:$B$388,2,FALSE),"")</f>
        <v/>
      </c>
      <c r="K199" s="19">
        <f>J199/6000</f>
        <v/>
      </c>
      <c r="L199" s="21">
        <f>H199/J199-1</f>
        <v/>
      </c>
      <c r="M199" s="21">
        <f>VLOOKUP(A199,[1]PIVOT!$B$4:$C$400,2,FALSE)</f>
        <v/>
      </c>
      <c r="N199" s="19" t="n"/>
      <c r="Q199" s="20">
        <f>LEN(F199)</f>
        <v/>
      </c>
      <c r="W199" s="20">
        <f>LEN(G199)</f>
        <v/>
      </c>
    </row>
    <row r="200" ht="27" customHeight="1">
      <c r="A200" s="9" t="inlineStr">
        <is>
          <t>321/مبنى قصبة اربد 6</t>
        </is>
      </c>
      <c r="B200" s="10" t="inlineStr">
        <is>
          <t>شركة مياه اليرموك- ادارة مياه محافظة اربد- مديرية مياه قصبة اربد- اشتراك (6)</t>
        </is>
      </c>
      <c r="C200" s="23" t="inlineStr">
        <is>
          <t>Irbid ROU Office</t>
        </is>
      </c>
      <c r="D200" s="11" t="inlineStr">
        <is>
          <t>35.8599</t>
        </is>
      </c>
      <c r="E200" s="11" t="inlineStr">
        <is>
          <t>32.5492</t>
        </is>
      </c>
      <c r="H200" s="20">
        <f>IFERROR(VLOOKUP(A200,[1]PIVOT!$B$4:$E$391,3,FALSE),"")</f>
        <v/>
      </c>
      <c r="I200" s="19">
        <f>H200/6000</f>
        <v/>
      </c>
      <c r="J200" s="19">
        <f>IFERROR(VLOOKUP(A200,[2]PIVOT!$A$4:$B$388,2,FALSE),"")</f>
        <v/>
      </c>
      <c r="K200" s="19">
        <f>J200/6000</f>
        <v/>
      </c>
      <c r="L200" s="21">
        <f>H200/J200-1</f>
        <v/>
      </c>
      <c r="M200" s="21">
        <f>VLOOKUP(A200,[1]PIVOT!$B$4:$C$400,2,FALSE)</f>
        <v/>
      </c>
      <c r="N200" s="19" t="n"/>
      <c r="Q200" s="20">
        <f>LEN(F200)</f>
        <v/>
      </c>
      <c r="W200" s="20">
        <f>LEN(G200)</f>
        <v/>
      </c>
    </row>
    <row r="201" ht="27" customHeight="1">
      <c r="A201" s="9" t="inlineStr">
        <is>
          <t>321/مبنى قصبة اربد 7</t>
        </is>
      </c>
      <c r="B201" s="10" t="inlineStr">
        <is>
          <t>شركة مياه اليرموك- ادارة مياه محافظة اربد- مديرية مياه قصبة اربد- اشتراك (7)</t>
        </is>
      </c>
      <c r="C201" s="23" t="inlineStr">
        <is>
          <t>Irbid ROU Office</t>
        </is>
      </c>
      <c r="D201" s="11" t="inlineStr">
        <is>
          <t>35.8596</t>
        </is>
      </c>
      <c r="E201" s="11" t="inlineStr">
        <is>
          <t>32.5492</t>
        </is>
      </c>
      <c r="H201" s="20">
        <f>IFERROR(VLOOKUP(A201,[1]PIVOT!$B$4:$E$391,3,FALSE),"")</f>
        <v/>
      </c>
      <c r="I201" s="19">
        <f>H201/6000</f>
        <v/>
      </c>
      <c r="J201" s="19">
        <f>IFERROR(VLOOKUP(A201,[2]PIVOT!$A$4:$B$388,2,FALSE),"")</f>
        <v/>
      </c>
      <c r="K201" s="19">
        <f>J201/6000</f>
        <v/>
      </c>
      <c r="L201" s="21">
        <f>H201/J201-1</f>
        <v/>
      </c>
      <c r="M201" s="21">
        <f>VLOOKUP(A201,[1]PIVOT!$B$4:$C$400,2,FALSE)</f>
        <v/>
      </c>
      <c r="N201" s="19" t="n"/>
      <c r="Q201" s="20">
        <f>LEN(F201)</f>
        <v/>
      </c>
      <c r="W201" s="20">
        <f>LEN(G201)</f>
        <v/>
      </c>
    </row>
    <row r="202" ht="27" customHeight="1">
      <c r="A202" s="9" t="inlineStr">
        <is>
          <t>324/محطة رفع مخيم الحصن</t>
        </is>
      </c>
      <c r="B202" s="10" t="inlineStr">
        <is>
          <t>محطة رفع صرف صحي مخيم الحصن</t>
        </is>
      </c>
      <c r="C202" s="23" t="inlineStr">
        <is>
          <t>Al_Huson camp LS</t>
        </is>
      </c>
      <c r="D202" s="12" t="inlineStr">
        <is>
          <t>35.915843</t>
        </is>
      </c>
      <c r="E202" s="12" t="inlineStr">
        <is>
          <t>32.47644</t>
        </is>
      </c>
      <c r="H202" s="20">
        <f>IFERROR(VLOOKUP(A202,[1]PIVOT!$B$4:$E$391,3,FALSE),"")</f>
        <v/>
      </c>
      <c r="I202" s="19">
        <f>H202/6000</f>
        <v/>
      </c>
      <c r="J202" s="19">
        <f>IFERROR(VLOOKUP(A202,[2]PIVOT!$A$4:$B$388,2,FALSE),"")</f>
        <v/>
      </c>
      <c r="K202" s="19">
        <f>J202/6000</f>
        <v/>
      </c>
      <c r="L202" s="21">
        <f>H202/J202-1</f>
        <v/>
      </c>
      <c r="M202" s="21">
        <f>VLOOKUP(A202,[1]PIVOT!$B$4:$C$400,2,FALSE)</f>
        <v/>
      </c>
      <c r="N202" s="19" t="n"/>
      <c r="Q202" s="20">
        <f>LEN(F202)</f>
        <v/>
      </c>
      <c r="W202" s="20">
        <f>LEN(G202)</f>
        <v/>
      </c>
    </row>
    <row r="203" ht="27" customHeight="1">
      <c r="A203" s="9" t="inlineStr">
        <is>
          <t>ابار الكرادور/12</t>
        </is>
      </c>
      <c r="B203" s="10" t="inlineStr">
        <is>
          <t>بئر الكوريدور (12)</t>
        </is>
      </c>
      <c r="C203" s="23" t="inlineStr">
        <is>
          <t>Corodor 12</t>
        </is>
      </c>
      <c r="D203" s="12" t="inlineStr">
        <is>
          <t>36.517479</t>
        </is>
      </c>
      <c r="E203" s="12" t="inlineStr">
        <is>
          <t>32.173116</t>
        </is>
      </c>
      <c r="H203" s="20">
        <f>IFERROR(VLOOKUP(A203,[1]PIVOT!$B$4:$E$391,3,FALSE),"")</f>
        <v/>
      </c>
      <c r="I203" s="19">
        <f>H203/6000</f>
        <v/>
      </c>
      <c r="J203" s="19">
        <f>IFERROR(VLOOKUP(A203,[2]PIVOT!$A$4:$B$388,2,FALSE),"")</f>
        <v/>
      </c>
      <c r="K203" s="19">
        <f>J203/6000</f>
        <v/>
      </c>
      <c r="L203" s="21">
        <f>H203/J203-1</f>
        <v/>
      </c>
      <c r="M203" s="21">
        <f>VLOOKUP(A203,[1]PIVOT!$B$4:$C$400,2,FALSE)</f>
        <v/>
      </c>
      <c r="N203" s="19" t="n"/>
      <c r="Q203" s="20">
        <f>LEN(F203)</f>
        <v/>
      </c>
      <c r="W203" s="20">
        <f>LEN(G203)</f>
        <v/>
      </c>
    </row>
    <row r="204" ht="27" customHeight="1">
      <c r="A204" s="9" t="inlineStr">
        <is>
          <t>ابار الكرادور/13</t>
        </is>
      </c>
      <c r="B204" s="10" t="inlineStr">
        <is>
          <t>بئر الكوريدور (13)</t>
        </is>
      </c>
      <c r="C204" s="23" t="inlineStr">
        <is>
          <t>Corodor 13</t>
        </is>
      </c>
      <c r="D204" s="12" t="inlineStr">
        <is>
          <t>36.527435</t>
        </is>
      </c>
      <c r="E204" s="12" t="inlineStr">
        <is>
          <t>32.180145</t>
        </is>
      </c>
      <c r="H204" s="20">
        <f>IFERROR(VLOOKUP(A204,[1]PIVOT!$B$4:$E$391,3,FALSE),"")</f>
        <v/>
      </c>
      <c r="I204" s="19">
        <f>H204/6000</f>
        <v/>
      </c>
      <c r="J204" s="19">
        <f>IFERROR(VLOOKUP(A204,[2]PIVOT!$A$4:$B$388,2,FALSE),"")</f>
        <v/>
      </c>
      <c r="K204" s="19">
        <f>J204/6000</f>
        <v/>
      </c>
      <c r="L204" s="21">
        <f>H204/J204-1</f>
        <v/>
      </c>
      <c r="M204" s="21">
        <f>VLOOKUP(A204,[1]PIVOT!$B$4:$C$400,2,FALSE)</f>
        <v/>
      </c>
      <c r="N204" s="19" t="n"/>
      <c r="Q204" s="20">
        <f>LEN(F204)</f>
        <v/>
      </c>
      <c r="W204" s="20">
        <f>LEN(G204)</f>
        <v/>
      </c>
    </row>
    <row r="205" ht="27" customHeight="1">
      <c r="A205" s="9" t="inlineStr">
        <is>
          <t>ابار الكرادور/15</t>
        </is>
      </c>
      <c r="B205" s="10" t="inlineStr">
        <is>
          <t>بئر الكوريدور (15)</t>
        </is>
      </c>
      <c r="C205" s="23" t="inlineStr">
        <is>
          <t>Corodor 15</t>
        </is>
      </c>
      <c r="D205" s="12" t="inlineStr">
        <is>
          <t>36.535213</t>
        </is>
      </c>
      <c r="E205" s="12" t="inlineStr">
        <is>
          <t>32.178486</t>
        </is>
      </c>
      <c r="H205" s="20">
        <f>IFERROR(VLOOKUP(A205,[1]PIVOT!$B$4:$E$391,3,FALSE),"")</f>
        <v/>
      </c>
      <c r="I205" s="19">
        <f>H205/6000</f>
        <v/>
      </c>
      <c r="J205" s="19">
        <f>IFERROR(VLOOKUP(A205,[2]PIVOT!$A$4:$B$388,2,FALSE),"")</f>
        <v/>
      </c>
      <c r="K205" s="19">
        <f>J205/6000</f>
        <v/>
      </c>
      <c r="L205" s="21">
        <f>H205/J205-1</f>
        <v/>
      </c>
      <c r="M205" s="21">
        <f>VLOOKUP(A205,[1]PIVOT!$B$4:$C$400,2,FALSE)</f>
        <v/>
      </c>
      <c r="N205" s="19" t="n"/>
      <c r="Q205" s="20">
        <f>LEN(F205)</f>
        <v/>
      </c>
      <c r="W205" s="20">
        <f>LEN(G205)</f>
        <v/>
      </c>
    </row>
    <row r="206" ht="27" customHeight="1">
      <c r="A206" s="9" t="inlineStr">
        <is>
          <t>ابار المجر</t>
        </is>
      </c>
      <c r="B206" s="10" t="inlineStr">
        <is>
          <t>بئر المجر (1)+ (1أ)</t>
        </is>
      </c>
      <c r="C206" s="23" t="inlineStr">
        <is>
          <t>Al Majar Well 1 &amp; R</t>
        </is>
      </c>
      <c r="D206" s="11" t="inlineStr">
        <is>
          <t>35.91709621</t>
        </is>
      </c>
      <c r="E206" s="11" t="inlineStr">
        <is>
          <t>32.26983341</t>
        </is>
      </c>
      <c r="H206" s="20">
        <f>IFERROR(VLOOKUP(A206,[1]PIVOT!$B$4:$E$391,3,FALSE),"")</f>
        <v/>
      </c>
      <c r="I206" s="19">
        <f>H206/6000</f>
        <v/>
      </c>
      <c r="J206" s="19">
        <f>IFERROR(VLOOKUP(A206,[2]PIVOT!$A$4:$B$388,2,FALSE),"")</f>
        <v/>
      </c>
      <c r="K206" s="19">
        <f>J206/6000</f>
        <v/>
      </c>
      <c r="L206" s="21">
        <f>H206/J206-1</f>
        <v/>
      </c>
      <c r="M206" s="21">
        <f>VLOOKUP(A206,[1]PIVOT!$B$4:$C$400,2,FALSE)</f>
        <v/>
      </c>
      <c r="N206" s="19" t="n"/>
      <c r="Q206" s="20">
        <f>LEN(F206)</f>
        <v/>
      </c>
      <c r="W206" s="20">
        <f>LEN(G206)</f>
        <v/>
      </c>
    </row>
    <row r="207" ht="27" customHeight="1">
      <c r="A207" s="9" t="inlineStr">
        <is>
          <t>الحفره التجميعيه مياه اليرموك</t>
        </is>
      </c>
      <c r="B207" s="10" t="inlineStr">
        <is>
          <t>حفرة تجميعية مياه صرف صحي - جرش</t>
        </is>
      </c>
      <c r="C207" s="24" t="e">
        <v>#N/A</v>
      </c>
      <c r="D207" s="12" t="inlineStr">
        <is>
          <t>35.849707</t>
        </is>
      </c>
      <c r="E207" s="12" t="inlineStr">
        <is>
          <t>32.263548</t>
        </is>
      </c>
      <c r="H207" s="20">
        <f>IFERROR(VLOOKUP(A207,[1]PIVOT!$B$4:$E$391,3,FALSE),"")</f>
        <v/>
      </c>
      <c r="I207" s="19">
        <f>H207/6000</f>
        <v/>
      </c>
      <c r="J207" s="19">
        <f>IFERROR(VLOOKUP(A207,[2]PIVOT!$A$4:$B$388,2,FALSE),"")</f>
        <v/>
      </c>
      <c r="K207" s="19">
        <f>J207/6000</f>
        <v/>
      </c>
      <c r="L207" s="21">
        <f>H207/J207-1</f>
        <v/>
      </c>
      <c r="M207" s="21">
        <f>VLOOKUP(A207,[1]PIVOT!$B$4:$C$400,2,FALSE)</f>
        <v/>
      </c>
      <c r="N207" s="19" t="n"/>
      <c r="Q207" s="20">
        <f>LEN(F207)</f>
        <v/>
      </c>
      <c r="W207" s="20">
        <f>LEN(G207)</f>
        <v/>
      </c>
    </row>
    <row r="208" ht="27" customHeight="1">
      <c r="A208" s="9" t="inlineStr">
        <is>
          <t>بير ماء بيت ايدس</t>
        </is>
      </c>
      <c r="B208" s="10" t="inlineStr">
        <is>
          <t>بئر بيت ايدس</t>
        </is>
      </c>
      <c r="C208" s="23" t="inlineStr">
        <is>
          <t>Beit Eidis Well</t>
        </is>
      </c>
      <c r="D208" s="11" t="inlineStr">
        <is>
          <t>35.65764615</t>
        </is>
      </c>
      <c r="E208" s="11" t="inlineStr">
        <is>
          <t>32.43804165</t>
        </is>
      </c>
      <c r="H208" s="20">
        <f>IFERROR(VLOOKUP(A208,[1]PIVOT!$B$4:$E$391,3,FALSE),"")</f>
        <v/>
      </c>
      <c r="I208" s="19">
        <f>H208/6000</f>
        <v/>
      </c>
      <c r="J208" s="19">
        <f>IFERROR(VLOOKUP(A208,[2]PIVOT!$A$4:$B$388,2,FALSE),"")</f>
        <v/>
      </c>
      <c r="K208" s="19">
        <f>J208/6000</f>
        <v/>
      </c>
      <c r="L208" s="21">
        <f>H208/J208-1</f>
        <v/>
      </c>
      <c r="M208" s="21">
        <f>VLOOKUP(A208,[1]PIVOT!$B$4:$C$400,2,FALSE)</f>
        <v/>
      </c>
      <c r="N208" s="19" t="n"/>
      <c r="Q208" s="20">
        <f>LEN(F208)</f>
        <v/>
      </c>
      <c r="W208" s="20">
        <f>LEN(G208)</f>
        <v/>
      </c>
    </row>
    <row r="209" ht="27" customHeight="1">
      <c r="A209" s="9" t="inlineStr">
        <is>
          <t>بئر ابو البصل /1</t>
        </is>
      </c>
      <c r="B209" s="10" t="inlineStr">
        <is>
          <t>بئر ابو البصل (1)</t>
        </is>
      </c>
      <c r="C209" s="23" t="inlineStr">
        <is>
          <t>Abu Al-basal Well 1</t>
        </is>
      </c>
      <c r="D209" s="12" t="inlineStr">
        <is>
          <t>35.96986</t>
        </is>
      </c>
      <c r="E209" s="12" t="inlineStr">
        <is>
          <t>32.553997</t>
        </is>
      </c>
      <c r="H209" s="20">
        <f>IFERROR(VLOOKUP(A209,[1]PIVOT!$B$4:$E$391,3,FALSE),"")</f>
        <v/>
      </c>
      <c r="I209" s="19">
        <f>H209/6000</f>
        <v/>
      </c>
      <c r="J209" s="19">
        <f>IFERROR(VLOOKUP(A209,[2]PIVOT!$A$4:$B$388,2,FALSE),"")</f>
        <v/>
      </c>
      <c r="K209" s="19">
        <f>J209/6000</f>
        <v/>
      </c>
      <c r="L209" s="21">
        <f>H209/J209-1</f>
        <v/>
      </c>
      <c r="M209" s="21">
        <f>VLOOKUP(A209,[1]PIVOT!$B$4:$C$400,2,FALSE)</f>
        <v/>
      </c>
      <c r="N209" s="19" t="n"/>
      <c r="Q209" s="20">
        <f>LEN(F209)</f>
        <v/>
      </c>
      <c r="W209" s="20">
        <f>LEN(G209)</f>
        <v/>
      </c>
    </row>
    <row r="210" ht="27" customHeight="1">
      <c r="A210" s="9" t="inlineStr">
        <is>
          <t>بئر ابو البصل /2</t>
        </is>
      </c>
      <c r="B210" s="10" t="inlineStr">
        <is>
          <t>محطة ضخ مياه ابو البصل+ بئر (2)</t>
        </is>
      </c>
      <c r="C210" s="23" t="inlineStr">
        <is>
          <t>Abu Al basal PS and Well 2 @ Res.</t>
        </is>
      </c>
      <c r="D210" s="11" t="inlineStr">
        <is>
          <t>35.96260208</t>
        </is>
      </c>
      <c r="E210" s="11" t="inlineStr">
        <is>
          <t>32.54393018</t>
        </is>
      </c>
      <c r="H210" s="20">
        <f>IFERROR(VLOOKUP(A210,[1]PIVOT!$B$4:$E$391,3,FALSE),"")</f>
        <v/>
      </c>
      <c r="I210" s="19">
        <f>H210/6000</f>
        <v/>
      </c>
      <c r="J210" s="19">
        <f>IFERROR(VLOOKUP(A210,[2]PIVOT!$A$4:$B$388,2,FALSE),"")</f>
        <v/>
      </c>
      <c r="K210" s="19">
        <f>J210/6000</f>
        <v/>
      </c>
      <c r="L210" s="21">
        <f>H210/J210-1</f>
        <v/>
      </c>
      <c r="M210" s="21">
        <f>VLOOKUP(A210,[1]PIVOT!$B$4:$C$400,2,FALSE)</f>
        <v/>
      </c>
      <c r="N210" s="19" t="n"/>
      <c r="Q210" s="20">
        <f>LEN(F210)</f>
        <v/>
      </c>
      <c r="W210" s="20">
        <f>LEN(G210)</f>
        <v/>
      </c>
    </row>
    <row r="211" ht="27" customHeight="1">
      <c r="A211" s="9" t="inlineStr">
        <is>
          <t>بئر ابو البصل 3</t>
        </is>
      </c>
      <c r="B211" s="10" t="inlineStr">
        <is>
          <t>بئر ابو البصل (3)</t>
        </is>
      </c>
      <c r="C211" s="23" t="inlineStr">
        <is>
          <t>Abu Al-Basal Well 3</t>
        </is>
      </c>
      <c r="D211" s="11" t="inlineStr">
        <is>
          <t>35.9519</t>
        </is>
      </c>
      <c r="E211" s="11" t="inlineStr">
        <is>
          <t>32.5338</t>
        </is>
      </c>
      <c r="H211" s="20">
        <f>IFERROR(VLOOKUP(A211,[1]PIVOT!$B$4:$E$391,3,FALSE),"")</f>
        <v/>
      </c>
      <c r="I211" s="19">
        <f>H211/6000</f>
        <v/>
      </c>
      <c r="J211" s="19">
        <f>IFERROR(VLOOKUP(A211,[2]PIVOT!$A$4:$B$388,2,FALSE),"")</f>
        <v/>
      </c>
      <c r="K211" s="19">
        <f>J211/6000</f>
        <v/>
      </c>
      <c r="L211" s="21">
        <f>H211/J211-1</f>
        <v/>
      </c>
      <c r="M211" s="21">
        <f>VLOOKUP(A211,[1]PIVOT!$B$4:$C$400,2,FALSE)</f>
        <v/>
      </c>
      <c r="N211" s="19" t="n"/>
      <c r="Q211" s="20">
        <f>LEN(F211)</f>
        <v/>
      </c>
      <c r="W211" s="20">
        <f>LEN(G211)</f>
        <v/>
      </c>
    </row>
    <row r="212" ht="27" customHeight="1">
      <c r="A212" s="9" t="inlineStr">
        <is>
          <t>بئر اسعره</t>
        </is>
      </c>
      <c r="B212" s="10" t="inlineStr">
        <is>
          <t>بئر ومحطة ضخ مياه اسعره</t>
        </is>
      </c>
      <c r="C212" s="23" t="inlineStr">
        <is>
          <t>Assara PS</t>
        </is>
      </c>
      <c r="D212" s="12" t="inlineStr">
        <is>
          <t>35.754424</t>
        </is>
      </c>
      <c r="E212" s="12" t="inlineStr">
        <is>
          <t>32.626414</t>
        </is>
      </c>
      <c r="H212" s="20">
        <f>IFERROR(VLOOKUP(A212,[1]PIVOT!$B$4:$E$391,3,FALSE),"")</f>
        <v/>
      </c>
      <c r="I212" s="19">
        <f>H212/6000</f>
        <v/>
      </c>
      <c r="J212" s="19">
        <f>IFERROR(VLOOKUP(A212,[2]PIVOT!$A$4:$B$388,2,FALSE),"")</f>
        <v/>
      </c>
      <c r="K212" s="19">
        <f>J212/6000</f>
        <v/>
      </c>
      <c r="L212" s="21">
        <f>H212/J212-1</f>
        <v/>
      </c>
      <c r="M212" s="21">
        <f>VLOOKUP(A212,[1]PIVOT!$B$4:$C$400,2,FALSE)</f>
        <v/>
      </c>
      <c r="N212" s="19" t="n"/>
      <c r="Q212" s="20">
        <f>LEN(F212)</f>
        <v/>
      </c>
      <c r="W212" s="20">
        <f>LEN(G212)</f>
        <v/>
      </c>
    </row>
    <row r="213" ht="27" customHeight="1">
      <c r="A213" s="9" t="inlineStr">
        <is>
          <t>بئر الباديه الشماليه/ك117</t>
        </is>
      </c>
      <c r="B213" s="10" t="inlineStr">
        <is>
          <t>بئر العاقب ك 117</t>
        </is>
      </c>
      <c r="C213" s="23" t="inlineStr">
        <is>
          <t>K117 Well</t>
        </is>
      </c>
      <c r="D213" s="12" t="inlineStr">
        <is>
          <t>36.664343</t>
        </is>
      </c>
      <c r="E213" s="12" t="inlineStr">
        <is>
          <t>32.203723</t>
        </is>
      </c>
      <c r="H213" s="20">
        <f>IFERROR(VLOOKUP(A213,[1]PIVOT!$B$4:$E$391,3,FALSE),"")</f>
        <v/>
      </c>
      <c r="I213" s="19">
        <f>H213/6000</f>
        <v/>
      </c>
      <c r="J213" s="19">
        <f>IFERROR(VLOOKUP(A213,[2]PIVOT!$A$4:$B$388,2,FALSE),"")</f>
        <v/>
      </c>
      <c r="K213" s="19">
        <f>J213/6000</f>
        <v/>
      </c>
      <c r="L213" s="21">
        <f>H213/J213-1</f>
        <v/>
      </c>
      <c r="M213" s="21">
        <f>VLOOKUP(A213,[1]PIVOT!$B$4:$C$400,2,FALSE)</f>
        <v/>
      </c>
      <c r="N213" s="19" t="n"/>
      <c r="Q213" s="20">
        <f>LEN(F213)</f>
        <v/>
      </c>
      <c r="W213" s="20">
        <f>LEN(G213)</f>
        <v/>
      </c>
    </row>
    <row r="214" ht="27" customHeight="1">
      <c r="A214" s="9" t="inlineStr">
        <is>
          <t>بئر الباعج</t>
        </is>
      </c>
      <c r="B214" s="10" t="inlineStr">
        <is>
          <t>محطة ضخ مياه الباعج+ بئر (2)</t>
        </is>
      </c>
      <c r="C214" s="24" t="e">
        <v>#N/A</v>
      </c>
      <c r="D214" s="12" t="inlineStr">
        <is>
          <t>36.351453</t>
        </is>
      </c>
      <c r="E214" s="12" t="inlineStr">
        <is>
          <t>32.366931</t>
        </is>
      </c>
      <c r="H214" s="20">
        <f>IFERROR(VLOOKUP(A214,[1]PIVOT!$B$4:$E$391,3,FALSE),"")</f>
        <v/>
      </c>
      <c r="I214" s="19">
        <f>H214/6000</f>
        <v/>
      </c>
      <c r="J214" s="19">
        <f>IFERROR(VLOOKUP(A214,[2]PIVOT!$A$4:$B$388,2,FALSE),"")</f>
        <v/>
      </c>
      <c r="K214" s="19">
        <f>J214/6000</f>
        <v/>
      </c>
      <c r="L214" s="21">
        <f>H214/J214-1</f>
        <v/>
      </c>
      <c r="M214" s="21">
        <f>VLOOKUP(A214,[1]PIVOT!$B$4:$C$400,2,FALSE)</f>
        <v/>
      </c>
      <c r="N214" s="19" t="n"/>
      <c r="Q214" s="20">
        <f>LEN(F214)</f>
        <v/>
      </c>
      <c r="W214" s="20">
        <f>LEN(G214)</f>
        <v/>
      </c>
    </row>
    <row r="215" ht="27" customHeight="1">
      <c r="A215" s="9" t="inlineStr">
        <is>
          <t>بئر الباعج 4</t>
        </is>
      </c>
      <c r="B215" s="10" t="inlineStr">
        <is>
          <t>بئر الباعج (4)</t>
        </is>
      </c>
      <c r="C215" s="23" t="inlineStr">
        <is>
          <t>El Ba'aj 4</t>
        </is>
      </c>
      <c r="D215" s="12" t="inlineStr">
        <is>
          <t>36.353661</t>
        </is>
      </c>
      <c r="E215" s="12" t="inlineStr">
        <is>
          <t>32.387063</t>
        </is>
      </c>
      <c r="H215" s="20">
        <f>IFERROR(VLOOKUP(A215,[1]PIVOT!$B$4:$E$391,3,FALSE),"")</f>
        <v/>
      </c>
      <c r="I215" s="19">
        <f>H215/6000</f>
        <v/>
      </c>
      <c r="J215" s="19">
        <f>IFERROR(VLOOKUP(A215,[2]PIVOT!$A$4:$B$388,2,FALSE),"")</f>
        <v/>
      </c>
      <c r="K215" s="19">
        <f>J215/6000</f>
        <v/>
      </c>
      <c r="L215" s="21">
        <f>H215/J215-1</f>
        <v/>
      </c>
      <c r="M215" s="21">
        <f>VLOOKUP(A215,[1]PIVOT!$B$4:$C$400,2,FALSE)</f>
        <v/>
      </c>
      <c r="N215" s="19" t="n"/>
      <c r="Q215" s="20">
        <f>LEN(F215)</f>
        <v/>
      </c>
      <c r="W215" s="20">
        <f>LEN(G215)</f>
        <v/>
      </c>
    </row>
    <row r="216" ht="27" customHeight="1">
      <c r="A216" s="9" t="inlineStr">
        <is>
          <t>بئر البستانه 103</t>
        </is>
      </c>
      <c r="B216" s="10" t="inlineStr">
        <is>
          <t>بئر العاقب ك 103 د/ البستانه</t>
        </is>
      </c>
      <c r="C216" s="23" t="inlineStr">
        <is>
          <t>AlBustaneh Well</t>
        </is>
      </c>
      <c r="D216" s="12" t="inlineStr">
        <is>
          <t>36.528515</t>
        </is>
      </c>
      <c r="E216" s="12" t="inlineStr">
        <is>
          <t>32.251502</t>
        </is>
      </c>
      <c r="H216" s="20">
        <f>IFERROR(VLOOKUP(A216,[1]PIVOT!$B$4:$E$391,3,FALSE),"")</f>
        <v/>
      </c>
      <c r="I216" s="19">
        <f>H216/6000</f>
        <v/>
      </c>
      <c r="J216" s="19">
        <f>IFERROR(VLOOKUP(A216,[2]PIVOT!$A$4:$B$388,2,FALSE),"")</f>
        <v/>
      </c>
      <c r="K216" s="19">
        <f>J216/6000</f>
        <v/>
      </c>
      <c r="L216" s="21">
        <f>H216/J216-1</f>
        <v/>
      </c>
      <c r="M216" s="21">
        <f>VLOOKUP(A216,[1]PIVOT!$B$4:$C$400,2,FALSE)</f>
        <v/>
      </c>
      <c r="N216" s="19" t="n"/>
      <c r="Q216" s="20">
        <f>LEN(F216)</f>
        <v/>
      </c>
      <c r="W216" s="20">
        <f>LEN(G216)</f>
        <v/>
      </c>
    </row>
    <row r="217" ht="27" customHeight="1">
      <c r="A217" s="9" t="inlineStr">
        <is>
          <t>بئر الزنية رقم/6</t>
        </is>
      </c>
      <c r="B217" s="10" t="inlineStr">
        <is>
          <t xml:space="preserve"> بئر الزنيه (6)</t>
        </is>
      </c>
      <c r="C217" s="23" t="inlineStr">
        <is>
          <t>Znaieh Well 6</t>
        </is>
      </c>
      <c r="D217" s="11" t="inlineStr">
        <is>
          <t>36.13110597</t>
        </is>
      </c>
      <c r="E217" s="11" t="inlineStr">
        <is>
          <t>32.21720516</t>
        </is>
      </c>
      <c r="H217" s="20">
        <f>IFERROR(VLOOKUP(A217,[1]PIVOT!$B$4:$E$391,3,FALSE),"")</f>
        <v/>
      </c>
      <c r="I217" s="19">
        <f>H217/6000</f>
        <v/>
      </c>
      <c r="J217" s="19">
        <f>IFERROR(VLOOKUP(A217,[2]PIVOT!$A$4:$B$388,2,FALSE),"")</f>
        <v/>
      </c>
      <c r="K217" s="19">
        <f>J217/6000</f>
        <v/>
      </c>
      <c r="L217" s="21">
        <f>H217/J217-1</f>
        <v/>
      </c>
      <c r="M217" s="21">
        <f>VLOOKUP(A217,[1]PIVOT!$B$4:$C$400,2,FALSE)</f>
        <v/>
      </c>
      <c r="N217" s="19" t="n"/>
      <c r="Q217" s="20">
        <f>LEN(F217)</f>
        <v/>
      </c>
      <c r="W217" s="20">
        <f>LEN(G217)</f>
        <v/>
      </c>
    </row>
    <row r="218" ht="27" customHeight="1">
      <c r="A218" s="9" t="inlineStr">
        <is>
          <t>بئر الصفاوي</t>
        </is>
      </c>
      <c r="B218" s="10" t="inlineStr">
        <is>
          <t xml:space="preserve">بئر ومحطة ضخ مياه الصفاوي </t>
        </is>
      </c>
      <c r="C218" s="24" t="e">
        <v>#N/A</v>
      </c>
      <c r="D218" s="12" t="inlineStr">
        <is>
          <t>36.964194</t>
        </is>
      </c>
      <c r="E218" s="12" t="inlineStr">
        <is>
          <t>32.1555</t>
        </is>
      </c>
      <c r="H218" s="20">
        <f>IFERROR(VLOOKUP(A218,[1]PIVOT!$B$4:$E$391,3,FALSE),"")</f>
        <v/>
      </c>
      <c r="I218" s="19">
        <f>H218/6000</f>
        <v/>
      </c>
      <c r="J218" s="19">
        <f>IFERROR(VLOOKUP(A218,[2]PIVOT!$A$4:$B$388,2,FALSE),"")</f>
        <v/>
      </c>
      <c r="K218" s="19">
        <f>J218/6000</f>
        <v/>
      </c>
      <c r="L218" s="21">
        <f>H218/J218-1</f>
        <v/>
      </c>
      <c r="M218" s="21">
        <f>VLOOKUP(A218,[1]PIVOT!$B$4:$C$400,2,FALSE)</f>
        <v/>
      </c>
      <c r="N218" s="19" t="n"/>
      <c r="Q218" s="20">
        <f>LEN(F218)</f>
        <v/>
      </c>
      <c r="W218" s="20">
        <f>LEN(G218)</f>
        <v/>
      </c>
    </row>
    <row r="219" ht="27" customHeight="1">
      <c r="A219" s="9" t="inlineStr">
        <is>
          <t>بئر العاقب 111.5 ك</t>
        </is>
      </c>
      <c r="B219" s="10" t="inlineStr">
        <is>
          <t>بئر العاقب ك 111.5</t>
        </is>
      </c>
      <c r="C219" s="23" t="inlineStr">
        <is>
          <t>K111.5 (Nayfeh)</t>
        </is>
      </c>
      <c r="D219" s="12" t="inlineStr">
        <is>
          <t>36.599438</t>
        </is>
      </c>
      <c r="E219" s="12" t="inlineStr">
        <is>
          <t>32.227688</t>
        </is>
      </c>
      <c r="H219" s="20">
        <f>IFERROR(VLOOKUP(A219,[1]PIVOT!$B$4:$E$391,3,FALSE),"")</f>
        <v/>
      </c>
      <c r="I219" s="19">
        <f>H219/6000</f>
        <v/>
      </c>
      <c r="J219" s="19">
        <f>IFERROR(VLOOKUP(A219,[2]PIVOT!$A$4:$B$388,2,FALSE),"")</f>
        <v/>
      </c>
      <c r="K219" s="19">
        <f>J219/6000</f>
        <v/>
      </c>
      <c r="L219" s="21">
        <f>H219/J219-1</f>
        <v/>
      </c>
      <c r="M219" s="21">
        <f>VLOOKUP(A219,[1]PIVOT!$B$4:$C$400,2,FALSE)</f>
        <v/>
      </c>
      <c r="N219" s="19" t="n"/>
      <c r="Q219" s="20">
        <f>LEN(F219)</f>
        <v/>
      </c>
      <c r="W219" s="20">
        <f>LEN(G219)</f>
        <v/>
      </c>
    </row>
    <row r="220" ht="27" customHeight="1">
      <c r="A220" s="9" t="inlineStr">
        <is>
          <t>بئر العاقب 118</t>
        </is>
      </c>
      <c r="B220" s="10" t="inlineStr">
        <is>
          <t>بئر العاقب ك 118</t>
        </is>
      </c>
      <c r="C220" s="23" t="inlineStr">
        <is>
          <t>K118 Well</t>
        </is>
      </c>
      <c r="D220" s="12" t="inlineStr">
        <is>
          <t>36.678232</t>
        </is>
      </c>
      <c r="E220" s="12" t="inlineStr">
        <is>
          <t>32.199019</t>
        </is>
      </c>
      <c r="H220" s="20">
        <f>IFERROR(VLOOKUP(A220,[1]PIVOT!$B$4:$E$391,3,FALSE),"")</f>
        <v/>
      </c>
      <c r="I220" s="19">
        <f>H220/6000</f>
        <v/>
      </c>
      <c r="J220" s="19">
        <f>IFERROR(VLOOKUP(A220,[2]PIVOT!$A$4:$B$388,2,FALSE),"")</f>
        <v/>
      </c>
      <c r="K220" s="19">
        <f>J220/6000</f>
        <v/>
      </c>
      <c r="L220" s="21">
        <f>H220/J220-1</f>
        <v/>
      </c>
      <c r="M220" s="21">
        <f>VLOOKUP(A220,[1]PIVOT!$B$4:$C$400,2,FALSE)</f>
        <v/>
      </c>
      <c r="N220" s="19" t="n"/>
      <c r="Q220" s="20">
        <f>LEN(F220)</f>
        <v/>
      </c>
      <c r="W220" s="20">
        <f>LEN(G220)</f>
        <v/>
      </c>
    </row>
    <row r="221" ht="27" customHeight="1">
      <c r="A221" s="9" t="inlineStr">
        <is>
          <t>بئر العاقب 125 ك</t>
        </is>
      </c>
      <c r="B221" s="10" t="inlineStr">
        <is>
          <t>بئر العاقب ك 125</t>
        </is>
      </c>
      <c r="C221" s="23" t="inlineStr">
        <is>
          <t>K126 Well</t>
        </is>
      </c>
      <c r="D221" s="12" t="inlineStr">
        <is>
          <t>36.687516</t>
        </is>
      </c>
      <c r="E221" s="12" t="inlineStr">
        <is>
          <t>32.151955</t>
        </is>
      </c>
      <c r="H221" s="20">
        <f>IFERROR(VLOOKUP(A221,[1]PIVOT!$B$4:$E$391,3,FALSE),"")</f>
        <v/>
      </c>
      <c r="I221" s="19">
        <f>H221/6000</f>
        <v/>
      </c>
      <c r="J221" s="19">
        <f>IFERROR(VLOOKUP(A221,[2]PIVOT!$A$4:$B$388,2,FALSE),"")</f>
        <v/>
      </c>
      <c r="K221" s="19">
        <f>J221/6000</f>
        <v/>
      </c>
      <c r="L221" s="21">
        <f>H221/J221-1</f>
        <v/>
      </c>
      <c r="M221" s="21">
        <f>VLOOKUP(A221,[1]PIVOT!$B$4:$C$400,2,FALSE)</f>
        <v/>
      </c>
      <c r="N221" s="19" t="n"/>
      <c r="Q221" s="20">
        <f>LEN(F221)</f>
        <v/>
      </c>
      <c r="W221" s="20">
        <f>LEN(G221)</f>
        <v/>
      </c>
    </row>
    <row r="222" ht="27" customHeight="1">
      <c r="A222" s="9" t="inlineStr">
        <is>
          <t>بئر العاقب ك 116</t>
        </is>
      </c>
      <c r="B222" s="10" t="inlineStr">
        <is>
          <t>بئر العاقب ك 116</t>
        </is>
      </c>
      <c r="C222" s="23" t="inlineStr">
        <is>
          <t>K116 Well</t>
        </is>
      </c>
      <c r="D222" s="12" t="inlineStr">
        <is>
          <t>36.653647</t>
        </is>
      </c>
      <c r="E222" s="12" t="inlineStr">
        <is>
          <t>32.210717</t>
        </is>
      </c>
      <c r="H222" s="20">
        <f>IFERROR(VLOOKUP(A222,[1]PIVOT!$B$4:$E$391,3,FALSE),"")</f>
        <v/>
      </c>
      <c r="I222" s="19">
        <f>H222/6000</f>
        <v/>
      </c>
      <c r="J222" s="19">
        <f>IFERROR(VLOOKUP(A222,[2]PIVOT!$A$4:$B$388,2,FALSE),"")</f>
        <v/>
      </c>
      <c r="K222" s="19">
        <f>J222/6000</f>
        <v/>
      </c>
      <c r="L222" s="21">
        <f>H222/J222-1</f>
        <v/>
      </c>
      <c r="M222" s="21">
        <f>VLOOKUP(A222,[1]PIVOT!$B$4:$C$400,2,FALSE)</f>
        <v/>
      </c>
      <c r="N222" s="19" t="n"/>
      <c r="Q222" s="20">
        <f>LEN(F222)</f>
        <v/>
      </c>
      <c r="W222" s="20">
        <f>LEN(G222)</f>
        <v/>
      </c>
    </row>
    <row r="223" ht="27" customHeight="1">
      <c r="A223" s="9" t="inlineStr">
        <is>
          <t>بئر العاقب ك 133</t>
        </is>
      </c>
      <c r="B223" s="10" t="inlineStr">
        <is>
          <t>بئر العاقب ك 133</t>
        </is>
      </c>
      <c r="C223" s="23" t="inlineStr">
        <is>
          <t>K133  PS</t>
        </is>
      </c>
      <c r="D223" s="12" t="inlineStr">
        <is>
          <t>36.819759</t>
        </is>
      </c>
      <c r="E223" s="12" t="inlineStr">
        <is>
          <t>32.154696</t>
        </is>
      </c>
      <c r="H223" s="20">
        <f>IFERROR(VLOOKUP(A223,[1]PIVOT!$B$4:$E$391,3,FALSE),"")</f>
        <v/>
      </c>
      <c r="I223" s="19">
        <f>H223/6000</f>
        <v/>
      </c>
      <c r="J223" s="19">
        <f>IFERROR(VLOOKUP(A223,[2]PIVOT!$A$4:$B$388,2,FALSE),"")</f>
        <v/>
      </c>
      <c r="K223" s="19">
        <f>J223/6000</f>
        <v/>
      </c>
      <c r="L223" s="21">
        <f>H223/J223-1</f>
        <v/>
      </c>
      <c r="M223" s="21">
        <f>VLOOKUP(A223,[1]PIVOT!$B$4:$C$400,2,FALSE)</f>
        <v/>
      </c>
      <c r="N223" s="19" t="n"/>
      <c r="Q223" s="20">
        <f>LEN(F223)</f>
        <v/>
      </c>
      <c r="W223" s="20">
        <f>LEN(G223)</f>
        <v/>
      </c>
    </row>
    <row r="224" ht="27" customHeight="1">
      <c r="A224" s="9" t="inlineStr">
        <is>
          <t>بئر العاقب108.5 ك</t>
        </is>
      </c>
      <c r="B224" s="10" t="inlineStr">
        <is>
          <t>بئر العاقب ك 108.5</t>
        </is>
      </c>
      <c r="C224" s="23" t="inlineStr">
        <is>
          <t>K108 Well</t>
        </is>
      </c>
      <c r="D224" s="12" t="inlineStr">
        <is>
          <t>36.579323</t>
        </is>
      </c>
      <c r="E224" s="12" t="inlineStr">
        <is>
          <t>32.237669</t>
        </is>
      </c>
      <c r="H224" s="20">
        <f>IFERROR(VLOOKUP(A224,[1]PIVOT!$B$4:$E$391,3,FALSE),"")</f>
        <v/>
      </c>
      <c r="I224" s="19">
        <f>H224/6000</f>
        <v/>
      </c>
      <c r="J224" s="19">
        <f>IFERROR(VLOOKUP(A224,[2]PIVOT!$A$4:$B$388,2,FALSE),"")</f>
        <v/>
      </c>
      <c r="K224" s="19">
        <f>J224/6000</f>
        <v/>
      </c>
      <c r="L224" s="21">
        <f>H224/J224-1</f>
        <v/>
      </c>
      <c r="M224" s="21">
        <f>VLOOKUP(A224,[1]PIVOT!$B$4:$C$400,2,FALSE)</f>
        <v/>
      </c>
      <c r="N224" s="19" t="n"/>
      <c r="Q224" s="20">
        <f>LEN(F224)</f>
        <v/>
      </c>
      <c r="W224" s="20">
        <f>LEN(G224)</f>
        <v/>
      </c>
    </row>
    <row r="225" ht="27" customHeight="1">
      <c r="A225" s="9" t="inlineStr">
        <is>
          <t>بئر العاقب119</t>
        </is>
      </c>
      <c r="B225" s="10" t="inlineStr">
        <is>
          <t xml:space="preserve">بئر العاقب ك 119  </t>
        </is>
      </c>
      <c r="C225" s="23" t="inlineStr">
        <is>
          <t>K119 Well</t>
        </is>
      </c>
      <c r="D225" s="11" t="inlineStr">
        <is>
          <t>36.6923</t>
        </is>
      </c>
      <c r="E225" s="11" t="inlineStr">
        <is>
          <t>32.1954</t>
        </is>
      </c>
      <c r="H225" s="20">
        <f>IFERROR(VLOOKUP(A225,[1]PIVOT!$B$4:$E$391,3,FALSE),"")</f>
        <v/>
      </c>
      <c r="I225" s="19">
        <f>H225/6000</f>
        <v/>
      </c>
      <c r="J225" s="19">
        <f>IFERROR(VLOOKUP(A225,[2]PIVOT!$A$4:$B$388,2,FALSE),"")</f>
        <v/>
      </c>
      <c r="K225" s="19">
        <f>J225/6000</f>
        <v/>
      </c>
      <c r="L225" s="21">
        <f>H225/J225-1</f>
        <v/>
      </c>
      <c r="M225" s="21">
        <f>VLOOKUP(A225,[1]PIVOT!$B$4:$C$400,2,FALSE)</f>
        <v/>
      </c>
      <c r="N225" s="19" t="n"/>
      <c r="Q225" s="20">
        <f>LEN(F225)</f>
        <v/>
      </c>
      <c r="W225" s="20">
        <f>LEN(G225)</f>
        <v/>
      </c>
    </row>
    <row r="226" ht="27" customHeight="1">
      <c r="A226" s="9" t="inlineStr">
        <is>
          <t>بئر الكرادور /4</t>
        </is>
      </c>
      <c r="B226" s="10" t="inlineStr">
        <is>
          <t>بئر الاقتصادية (4)</t>
        </is>
      </c>
      <c r="C226" s="23" t="inlineStr">
        <is>
          <t>MSEZ Well 4</t>
        </is>
      </c>
      <c r="D226" s="12" t="inlineStr">
        <is>
          <t>36.558074</t>
        </is>
      </c>
      <c r="E226" s="12" t="inlineStr">
        <is>
          <t>32.229217</t>
        </is>
      </c>
      <c r="H226" s="20">
        <f>IFERROR(VLOOKUP(A226,[1]PIVOT!$B$4:$E$391,3,FALSE),"")</f>
        <v/>
      </c>
      <c r="I226" s="19">
        <f>H226/6000</f>
        <v/>
      </c>
      <c r="J226" s="19">
        <f>IFERROR(VLOOKUP(A226,[2]PIVOT!$A$4:$B$388,2,FALSE),"")</f>
        <v/>
      </c>
      <c r="K226" s="19">
        <f>J226/6000</f>
        <v/>
      </c>
      <c r="L226" s="21">
        <f>H226/J226-1</f>
        <v/>
      </c>
      <c r="M226" s="21">
        <f>VLOOKUP(A226,[1]PIVOT!$B$4:$C$400,2,FALSE)</f>
        <v/>
      </c>
      <c r="N226" s="19" t="n"/>
      <c r="Q226" s="20">
        <f>LEN(F226)</f>
        <v/>
      </c>
      <c r="W226" s="20">
        <f>LEN(G226)</f>
        <v/>
      </c>
    </row>
    <row r="227" ht="27" customHeight="1">
      <c r="A227" s="9" t="inlineStr">
        <is>
          <t>بئر الكردور/4</t>
        </is>
      </c>
      <c r="B227" s="10" t="inlineStr">
        <is>
          <t>بئر الكوريدور (4)</t>
        </is>
      </c>
      <c r="C227" s="23" t="inlineStr">
        <is>
          <t>Corodor 4</t>
        </is>
      </c>
      <c r="D227" s="11" t="inlineStr">
        <is>
          <t>36.52203334</t>
        </is>
      </c>
      <c r="E227" s="11" t="inlineStr">
        <is>
          <t>32.21935859</t>
        </is>
      </c>
      <c r="H227" s="20">
        <f>IFERROR(VLOOKUP(A227,[1]PIVOT!$B$4:$E$391,3,FALSE),"")</f>
        <v/>
      </c>
      <c r="I227" s="19">
        <f>H227/6000</f>
        <v/>
      </c>
      <c r="J227" s="19">
        <f>IFERROR(VLOOKUP(A227,[2]PIVOT!$A$4:$B$388,2,FALSE),"")</f>
        <v/>
      </c>
      <c r="K227" s="19">
        <f>J227/6000</f>
        <v/>
      </c>
      <c r="L227" s="21">
        <f>H227/J227-1</f>
        <v/>
      </c>
      <c r="M227" s="21">
        <f>VLOOKUP(A227,[1]PIVOT!$B$4:$C$400,2,FALSE)</f>
        <v/>
      </c>
      <c r="N227" s="19" t="n"/>
      <c r="Q227" s="20">
        <f>LEN(F227)</f>
        <v/>
      </c>
      <c r="W227" s="20">
        <f>LEN(G227)</f>
        <v/>
      </c>
    </row>
    <row r="228" ht="27" customHeight="1">
      <c r="A228" s="9" t="inlineStr">
        <is>
          <t>بئر المفردات</t>
        </is>
      </c>
      <c r="B228" s="10" t="inlineStr">
        <is>
          <t>بئر ومحطة ضخ مياه المفردات</t>
        </is>
      </c>
      <c r="C228" s="23" t="inlineStr">
        <is>
          <t>Al-Mofradat  PS</t>
        </is>
      </c>
      <c r="D228" s="11" t="inlineStr">
        <is>
          <t>36.29162999</t>
        </is>
      </c>
      <c r="E228" s="11" t="inlineStr">
        <is>
          <t>32.22828783</t>
        </is>
      </c>
      <c r="H228" s="20">
        <f>IFERROR(VLOOKUP(A228,[1]PIVOT!$B$4:$E$391,3,FALSE),"")</f>
        <v/>
      </c>
      <c r="I228" s="19">
        <f>H228/6000</f>
        <v/>
      </c>
      <c r="J228" s="19">
        <f>IFERROR(VLOOKUP(A228,[2]PIVOT!$A$4:$B$388,2,FALSE),"")</f>
        <v/>
      </c>
      <c r="K228" s="19">
        <f>J228/6000</f>
        <v/>
      </c>
      <c r="L228" s="21">
        <f>H228/J228-1</f>
        <v/>
      </c>
      <c r="M228" s="21">
        <f>VLOOKUP(A228,[1]PIVOT!$B$4:$C$400,2,FALSE)</f>
        <v/>
      </c>
      <c r="N228" s="19" t="n"/>
      <c r="Q228" s="20">
        <f>LEN(F228)</f>
        <v/>
      </c>
      <c r="W228" s="20">
        <f>LEN(G228)</f>
        <v/>
      </c>
    </row>
    <row r="229" ht="27" customHeight="1">
      <c r="A229" s="9" t="inlineStr">
        <is>
          <t>بئر المنطقة الاقتصادية /2</t>
        </is>
      </c>
      <c r="B229" s="10" t="inlineStr">
        <is>
          <t>بئر الاقتصادية (3)</t>
        </is>
      </c>
      <c r="C229" s="23" t="inlineStr">
        <is>
          <t>MSEZ Well 3</t>
        </is>
      </c>
      <c r="D229" s="12" t="inlineStr">
        <is>
          <t>36.54649</t>
        </is>
      </c>
      <c r="E229" s="12" t="inlineStr">
        <is>
          <t>32.254923</t>
        </is>
      </c>
      <c r="H229" s="20">
        <f>IFERROR(VLOOKUP(A229,[1]PIVOT!$B$4:$E$391,3,FALSE),"")</f>
        <v/>
      </c>
      <c r="I229" s="19">
        <f>H229/6000</f>
        <v/>
      </c>
      <c r="J229" s="19">
        <f>IFERROR(VLOOKUP(A229,[2]PIVOT!$A$4:$B$388,2,FALSE),"")</f>
        <v/>
      </c>
      <c r="K229" s="19">
        <f>J229/6000</f>
        <v/>
      </c>
      <c r="L229" s="21">
        <f>H229/J229-1</f>
        <v/>
      </c>
      <c r="M229" s="21">
        <f>VLOOKUP(A229,[1]PIVOT!$B$4:$C$400,2,FALSE)</f>
        <v/>
      </c>
      <c r="N229" s="19" t="n"/>
      <c r="Q229" s="20">
        <f>LEN(F229)</f>
        <v/>
      </c>
      <c r="W229" s="20">
        <f>LEN(G229)</f>
        <v/>
      </c>
    </row>
    <row r="230" ht="27" customHeight="1">
      <c r="A230" s="9" t="inlineStr">
        <is>
          <t>بئر المنطقة الاقتصادية/1</t>
        </is>
      </c>
      <c r="B230" s="10" t="inlineStr">
        <is>
          <t>بئر الاقتصادية (1)</t>
        </is>
      </c>
      <c r="C230" s="23" t="inlineStr">
        <is>
          <t>MSEZ Well 1</t>
        </is>
      </c>
      <c r="D230" s="12" t="inlineStr">
        <is>
          <t>36.53785</t>
        </is>
      </c>
      <c r="E230" s="12" t="inlineStr">
        <is>
          <t>32.251747</t>
        </is>
      </c>
      <c r="H230" s="20">
        <f>IFERROR(VLOOKUP(A230,[1]PIVOT!$B$4:$E$391,3,FALSE),"")</f>
        <v/>
      </c>
      <c r="I230" s="19">
        <f>H230/6000</f>
        <v/>
      </c>
      <c r="J230" s="19">
        <f>IFERROR(VLOOKUP(A230,[2]PIVOT!$A$4:$B$388,2,FALSE),"")</f>
        <v/>
      </c>
      <c r="K230" s="19">
        <f>J230/6000</f>
        <v/>
      </c>
      <c r="L230" s="21">
        <f>H230/J230-1</f>
        <v/>
      </c>
      <c r="M230" s="21">
        <f>VLOOKUP(A230,[1]PIVOT!$B$4:$C$400,2,FALSE)</f>
        <v/>
      </c>
      <c r="N230" s="19" t="n"/>
      <c r="Q230" s="20">
        <f>LEN(F230)</f>
        <v/>
      </c>
      <c r="W230" s="20">
        <f>LEN(G230)</f>
        <v/>
      </c>
    </row>
    <row r="231" ht="27" customHeight="1">
      <c r="A231" s="9" t="inlineStr">
        <is>
          <t>بئر النعيمه  5</t>
        </is>
      </c>
      <c r="B231" s="10" t="inlineStr">
        <is>
          <t>بئر ومظلة النعيمة (5)</t>
        </is>
      </c>
      <c r="C231" s="23" t="inlineStr">
        <is>
          <t>No'aymeh Well 5</t>
        </is>
      </c>
      <c r="D231" s="11" t="inlineStr">
        <is>
          <t>35.9246</t>
        </is>
      </c>
      <c r="E231" s="11" t="inlineStr">
        <is>
          <t>32.4091</t>
        </is>
      </c>
      <c r="H231" s="20">
        <f>IFERROR(VLOOKUP(A231,[1]PIVOT!$B$4:$E$391,3,FALSE),"")</f>
        <v/>
      </c>
      <c r="I231" s="19">
        <f>H231/6000</f>
        <v/>
      </c>
      <c r="J231" s="19">
        <f>IFERROR(VLOOKUP(A231,[2]PIVOT!$A$4:$B$388,2,FALSE),"")</f>
        <v/>
      </c>
      <c r="K231" s="19">
        <f>J231/6000</f>
        <v/>
      </c>
      <c r="L231" s="21">
        <f>H231/J231-1</f>
        <v/>
      </c>
      <c r="M231" s="21">
        <f>VLOOKUP(A231,[1]PIVOT!$B$4:$C$400,2,FALSE)</f>
        <v/>
      </c>
      <c r="N231" s="19" t="n"/>
      <c r="Q231" s="20">
        <f>LEN(F231)</f>
        <v/>
      </c>
      <c r="W231" s="20">
        <f>LEN(G231)</f>
        <v/>
      </c>
    </row>
    <row r="232" ht="27" customHeight="1">
      <c r="A232" s="9" t="inlineStr">
        <is>
          <t>بئر النعيمه  6</t>
        </is>
      </c>
      <c r="B232" s="10" t="inlineStr">
        <is>
          <t>بئر النعيمه (6)</t>
        </is>
      </c>
      <c r="C232" s="23" t="inlineStr">
        <is>
          <t>No'aymeh Well 6</t>
        </is>
      </c>
      <c r="D232" s="12" t="inlineStr">
        <is>
          <t>35.918571</t>
        </is>
      </c>
      <c r="E232" s="12" t="inlineStr">
        <is>
          <t>32.40306</t>
        </is>
      </c>
      <c r="H232" s="20">
        <f>IFERROR(VLOOKUP(A232,[1]PIVOT!$B$4:$E$391,3,FALSE),"")</f>
        <v/>
      </c>
      <c r="I232" s="19">
        <f>H232/6000</f>
        <v/>
      </c>
      <c r="J232" s="19">
        <f>IFERROR(VLOOKUP(A232,[2]PIVOT!$A$4:$B$388,2,FALSE),"")</f>
        <v/>
      </c>
      <c r="K232" s="19">
        <f>J232/6000</f>
        <v/>
      </c>
      <c r="L232" s="21">
        <f>H232/J232-1</f>
        <v/>
      </c>
      <c r="M232" s="21">
        <f>VLOOKUP(A232,[1]PIVOT!$B$4:$C$400,2,FALSE)</f>
        <v/>
      </c>
      <c r="N232" s="19" t="n"/>
      <c r="Q232" s="20">
        <f>LEN(F232)</f>
        <v/>
      </c>
      <c r="W232" s="20">
        <f>LEN(G232)</f>
        <v/>
      </c>
    </row>
    <row r="233" ht="27" customHeight="1">
      <c r="A233" s="9" t="inlineStr">
        <is>
          <t>بئر النعيمه/4/سلطة المياه</t>
        </is>
      </c>
      <c r="B233" s="10" t="inlineStr">
        <is>
          <t>بئر ومحطة ضخ مياه النعيمة (4)</t>
        </is>
      </c>
      <c r="C233" s="23" t="inlineStr">
        <is>
          <t>No'aymeh Well 4</t>
        </is>
      </c>
      <c r="D233" s="12" t="inlineStr">
        <is>
          <t>35.930728</t>
        </is>
      </c>
      <c r="E233" s="12" t="inlineStr">
        <is>
          <t>32.413915</t>
        </is>
      </c>
      <c r="F233" s="20" t="n"/>
      <c r="G233" s="20" t="n"/>
      <c r="H233" s="20">
        <f>IFERROR(VLOOKUP(A233,[1]PIVOT!$B$4:$E$391,3,FALSE),"")</f>
        <v/>
      </c>
      <c r="I233" s="19">
        <f>H233/6000</f>
        <v/>
      </c>
      <c r="J233" s="19">
        <f>IFERROR(VLOOKUP(A233,[2]PIVOT!$A$4:$B$388,2,FALSE),"")</f>
        <v/>
      </c>
      <c r="K233" s="19">
        <f>J233/6000</f>
        <v/>
      </c>
      <c r="L233" s="21">
        <f>H233/J233-1</f>
        <v/>
      </c>
      <c r="M233" s="21">
        <f>VLOOKUP(A233,[1]PIVOT!$B$4:$C$400,2,FALSE)</f>
        <v/>
      </c>
      <c r="N233" s="19" t="n"/>
      <c r="Q233" s="20">
        <f>LEN(F233)</f>
        <v/>
      </c>
      <c r="W233" s="20">
        <f>LEN(G233)</f>
        <v/>
      </c>
    </row>
    <row r="234" ht="27" customHeight="1">
      <c r="A234" s="9" t="inlineStr">
        <is>
          <t>بئر ام السرب</t>
        </is>
      </c>
      <c r="B234" s="10" t="inlineStr">
        <is>
          <t>بئر ام السرب (3)</t>
        </is>
      </c>
      <c r="C234" s="23" t="inlineStr">
        <is>
          <t>Um Es SerbWell 3&amp; PS</t>
        </is>
      </c>
      <c r="D234" s="12" t="inlineStr">
        <is>
          <t>36.323577</t>
        </is>
      </c>
      <c r="E234" s="12" t="inlineStr">
        <is>
          <t>32.423061</t>
        </is>
      </c>
      <c r="H234" s="20">
        <f>IFERROR(VLOOKUP(A234,[1]PIVOT!$B$4:$E$391,3,FALSE),"")</f>
        <v/>
      </c>
      <c r="I234" s="19">
        <f>H234/6000</f>
        <v/>
      </c>
      <c r="J234" s="19">
        <f>IFERROR(VLOOKUP(A234,[2]PIVOT!$A$4:$B$388,2,FALSE),"")</f>
        <v/>
      </c>
      <c r="K234" s="19">
        <f>J234/6000</f>
        <v/>
      </c>
      <c r="L234" s="21">
        <f>H234/J234-1</f>
        <v/>
      </c>
      <c r="M234" s="21">
        <f>VLOOKUP(A234,[1]PIVOT!$B$4:$C$400,2,FALSE)</f>
        <v/>
      </c>
      <c r="N234" s="19" t="n"/>
      <c r="Q234" s="20">
        <f>LEN(F234)</f>
        <v/>
      </c>
      <c r="W234" s="20">
        <f>LEN(G234)</f>
        <v/>
      </c>
    </row>
    <row r="235" ht="27" customHeight="1">
      <c r="A235" s="9" t="inlineStr">
        <is>
          <t>بئر برما</t>
        </is>
      </c>
      <c r="B235" s="10" t="inlineStr">
        <is>
          <t>بئر برما (3)</t>
        </is>
      </c>
      <c r="C235" s="23" t="inlineStr">
        <is>
          <t>Burma Well</t>
        </is>
      </c>
      <c r="D235" s="11" t="inlineStr">
        <is>
          <t>35.8007</t>
        </is>
      </c>
      <c r="E235" s="11" t="inlineStr">
        <is>
          <t>32.2241</t>
        </is>
      </c>
      <c r="H235" s="20">
        <f>IFERROR(VLOOKUP(A235,[1]PIVOT!$B$4:$E$391,3,FALSE),"")</f>
        <v/>
      </c>
      <c r="I235" s="19">
        <f>H235/6000</f>
        <v/>
      </c>
      <c r="J235" s="19">
        <f>IFERROR(VLOOKUP(A235,[2]PIVOT!$A$4:$B$388,2,FALSE),"")</f>
        <v/>
      </c>
      <c r="K235" s="19">
        <f>J235/6000</f>
        <v/>
      </c>
      <c r="L235" s="21">
        <f>H235/J235-1</f>
        <v/>
      </c>
      <c r="M235" s="21">
        <f>VLOOKUP(A235,[1]PIVOT!$B$4:$C$400,2,FALSE)</f>
        <v/>
      </c>
      <c r="N235" s="19" t="n"/>
      <c r="Q235" s="20">
        <f>LEN(F235)</f>
        <v/>
      </c>
      <c r="W235" s="20">
        <f>LEN(G235)</f>
        <v/>
      </c>
    </row>
    <row r="236" ht="27" customHeight="1">
      <c r="A236" s="9" t="inlineStr">
        <is>
          <t>بئر ثغرة الجب</t>
        </is>
      </c>
      <c r="B236" s="10" t="inlineStr">
        <is>
          <t>بئر ومحطة ضخ مياه ثغرة الجب</t>
        </is>
      </c>
      <c r="C236" s="24" t="e">
        <v>#N/A</v>
      </c>
      <c r="D236" s="12" t="inlineStr">
        <is>
          <t>36.230666</t>
        </is>
      </c>
      <c r="E236" s="12" t="inlineStr">
        <is>
          <t>32.263277</t>
        </is>
      </c>
      <c r="H236" s="20">
        <f>IFERROR(VLOOKUP(A236,[1]PIVOT!$B$4:$E$391,3,FALSE),"")</f>
        <v/>
      </c>
      <c r="I236" s="19">
        <f>H236/6000</f>
        <v/>
      </c>
      <c r="J236" s="19">
        <f>IFERROR(VLOOKUP(A236,[2]PIVOT!$A$4:$B$388,2,FALSE),"")</f>
        <v/>
      </c>
      <c r="K236" s="19">
        <f>J236/6000</f>
        <v/>
      </c>
      <c r="L236" s="21">
        <f>H236/J236-1</f>
        <v/>
      </c>
      <c r="M236" s="21">
        <f>VLOOKUP(A236,[1]PIVOT!$B$4:$C$400,2,FALSE)</f>
        <v/>
      </c>
      <c r="N236" s="19" t="n"/>
      <c r="Q236" s="20">
        <f>LEN(F236)</f>
        <v/>
      </c>
      <c r="W236" s="20">
        <f>LEN(G236)</f>
        <v/>
      </c>
    </row>
    <row r="237" ht="27" customHeight="1">
      <c r="A237" s="9" t="inlineStr">
        <is>
          <t>بئر جبيه</t>
        </is>
      </c>
      <c r="B237" s="10" t="inlineStr">
        <is>
          <t>بئر ومحطة ضخ مياه جبية (1)</t>
        </is>
      </c>
      <c r="C237" s="23" t="inlineStr">
        <is>
          <t>Jubbiyeh PS</t>
        </is>
      </c>
      <c r="D237" s="11" t="inlineStr">
        <is>
          <t>36.79576664</t>
        </is>
      </c>
      <c r="E237" s="11" t="inlineStr">
        <is>
          <t>32.29712206</t>
        </is>
      </c>
      <c r="H237" s="20">
        <f>IFERROR(VLOOKUP(A237,[1]PIVOT!$B$4:$E$391,3,FALSE),"")</f>
        <v/>
      </c>
      <c r="I237" s="19">
        <f>H237/6000</f>
        <v/>
      </c>
      <c r="J237" s="19">
        <f>IFERROR(VLOOKUP(A237,[2]PIVOT!$A$4:$B$388,2,FALSE),"")</f>
        <v/>
      </c>
      <c r="K237" s="19">
        <f>J237/6000</f>
        <v/>
      </c>
      <c r="L237" s="21">
        <f>H237/J237-1</f>
        <v/>
      </c>
      <c r="M237" s="21">
        <f>VLOOKUP(A237,[1]PIVOT!$B$4:$C$400,2,FALSE)</f>
        <v/>
      </c>
      <c r="N237" s="19" t="n"/>
      <c r="Q237" s="20">
        <f>LEN(F237)</f>
        <v/>
      </c>
      <c r="W237" s="20">
        <f>LEN(G237)</f>
        <v/>
      </c>
    </row>
    <row r="238" ht="27" customHeight="1">
      <c r="A238" s="9" t="inlineStr">
        <is>
          <t>بئر جديتا /3</t>
        </is>
      </c>
      <c r="B238" s="10" t="inlineStr">
        <is>
          <t>بئر جديتا (3)</t>
        </is>
      </c>
      <c r="C238" s="23" t="inlineStr">
        <is>
          <t>Judyta Well 3</t>
        </is>
      </c>
      <c r="D238" s="11" t="inlineStr">
        <is>
          <t>35.68357349</t>
        </is>
      </c>
      <c r="E238" s="11" t="inlineStr">
        <is>
          <t>32.40735577</t>
        </is>
      </c>
      <c r="H238" s="20">
        <f>IFERROR(VLOOKUP(A238,[1]PIVOT!$B$4:$E$391,3,FALSE),"")</f>
        <v/>
      </c>
      <c r="I238" s="19">
        <f>H238/6000</f>
        <v/>
      </c>
      <c r="J238" s="19">
        <f>IFERROR(VLOOKUP(A238,[2]PIVOT!$A$4:$B$388,2,FALSE),"")</f>
        <v/>
      </c>
      <c r="K238" s="19">
        <f>J238/6000</f>
        <v/>
      </c>
      <c r="L238" s="21">
        <f>H238/J238-1</f>
        <v/>
      </c>
      <c r="M238" s="21">
        <f>VLOOKUP(A238,[1]PIVOT!$B$4:$C$400,2,FALSE)</f>
        <v/>
      </c>
      <c r="N238" s="19" t="n"/>
      <c r="Q238" s="20">
        <f>LEN(F238)</f>
        <v/>
      </c>
      <c r="W238" s="20">
        <f>LEN(G238)</f>
        <v/>
      </c>
    </row>
    <row r="239" ht="27" customHeight="1">
      <c r="A239" s="9" t="inlineStr">
        <is>
          <t>بئر جسر جابر الحدود رقم/1</t>
        </is>
      </c>
      <c r="B239" s="10" t="inlineStr">
        <is>
          <t>بئر الحدود جابر الجسر</t>
        </is>
      </c>
      <c r="C239" s="23" t="inlineStr">
        <is>
          <t>Jaber Bridge Well 1</t>
        </is>
      </c>
      <c r="D239" s="12" t="inlineStr">
        <is>
          <t>36.184278</t>
        </is>
      </c>
      <c r="E239" s="12" t="inlineStr">
        <is>
          <t>32.503827</t>
        </is>
      </c>
      <c r="H239" s="20">
        <f>IFERROR(VLOOKUP(A239,[1]PIVOT!$B$4:$E$391,3,FALSE),"")</f>
        <v/>
      </c>
      <c r="I239" s="19">
        <f>H239/6000</f>
        <v/>
      </c>
      <c r="J239" s="19">
        <f>IFERROR(VLOOKUP(A239,[2]PIVOT!$A$4:$B$388,2,FALSE),"")</f>
        <v/>
      </c>
      <c r="K239" s="19">
        <f>J239/6000</f>
        <v/>
      </c>
      <c r="L239" s="21">
        <f>H239/J239-1</f>
        <v/>
      </c>
      <c r="M239" s="21">
        <f>VLOOKUP(A239,[1]PIVOT!$B$4:$C$400,2,FALSE)</f>
        <v/>
      </c>
      <c r="N239" s="19" t="n"/>
      <c r="Q239" s="20">
        <f>LEN(F239)</f>
        <v/>
      </c>
      <c r="W239" s="20">
        <f>LEN(G239)</f>
        <v/>
      </c>
    </row>
    <row r="240" ht="27" customHeight="1">
      <c r="A240" s="9" t="inlineStr">
        <is>
          <t>بئر حريما رقم 4</t>
        </is>
      </c>
      <c r="B240" s="10" t="inlineStr">
        <is>
          <t>بئر حريما (4)</t>
        </is>
      </c>
      <c r="C240" s="23" t="inlineStr">
        <is>
          <t>Harima Well 4</t>
        </is>
      </c>
      <c r="D240" s="12" t="inlineStr">
        <is>
          <t>35.879445</t>
        </is>
      </c>
      <c r="E240" s="12" t="inlineStr">
        <is>
          <t>32.631136</t>
        </is>
      </c>
      <c r="H240" s="20">
        <f>IFERROR(VLOOKUP(A240,[1]PIVOT!$B$4:$E$391,3,FALSE),"")</f>
        <v/>
      </c>
      <c r="I240" s="19">
        <f>H240/6000</f>
        <v/>
      </c>
      <c r="J240" s="19">
        <f>IFERROR(VLOOKUP(A240,[2]PIVOT!$A$4:$B$388,2,FALSE),"")</f>
        <v/>
      </c>
      <c r="K240" s="19">
        <f>J240/6000</f>
        <v/>
      </c>
      <c r="L240" s="21">
        <f>H240/J240-1</f>
        <v/>
      </c>
      <c r="M240" s="21">
        <f>VLOOKUP(A240,[1]PIVOT!$B$4:$C$400,2,FALSE)</f>
        <v/>
      </c>
      <c r="N240" s="19" t="n"/>
      <c r="Q240" s="20">
        <f>LEN(F240)</f>
        <v/>
      </c>
      <c r="W240" s="20">
        <f>LEN(G240)</f>
        <v/>
      </c>
    </row>
    <row r="241" ht="27" customHeight="1">
      <c r="A241" s="9" t="inlineStr">
        <is>
          <t>بئر حريما رقم 5</t>
        </is>
      </c>
      <c r="B241" s="10" t="inlineStr">
        <is>
          <t>بئر حريما (5)</t>
        </is>
      </c>
      <c r="C241" s="23" t="inlineStr">
        <is>
          <t>Harima Well 5</t>
        </is>
      </c>
      <c r="D241" s="11" t="inlineStr">
        <is>
          <t>35.8742</t>
        </is>
      </c>
      <c r="E241" s="11" t="inlineStr">
        <is>
          <t>32.6287</t>
        </is>
      </c>
      <c r="H241" s="20">
        <f>IFERROR(VLOOKUP(A241,[1]PIVOT!$B$4:$E$391,3,FALSE),"")</f>
        <v/>
      </c>
      <c r="I241" s="19">
        <f>H241/6000</f>
        <v/>
      </c>
      <c r="J241" s="19">
        <f>IFERROR(VLOOKUP(A241,[2]PIVOT!$A$4:$B$388,2,FALSE),"")</f>
        <v/>
      </c>
      <c r="K241" s="19">
        <f>J241/6000</f>
        <v/>
      </c>
      <c r="L241" s="21">
        <f>H241/J241-1</f>
        <v/>
      </c>
      <c r="M241" s="21">
        <f>VLOOKUP(A241,[1]PIVOT!$B$4:$C$400,2,FALSE)</f>
        <v/>
      </c>
      <c r="N241" s="19" t="n"/>
      <c r="Q241" s="20">
        <f>LEN(F241)</f>
        <v/>
      </c>
      <c r="W241" s="20">
        <f>LEN(G241)</f>
        <v/>
      </c>
    </row>
    <row r="242" ht="27" customHeight="1">
      <c r="A242" s="9" t="inlineStr">
        <is>
          <t>بئر حكما 9</t>
        </is>
      </c>
      <c r="B242" s="10" t="inlineStr">
        <is>
          <t>بئر حكما (9)</t>
        </is>
      </c>
      <c r="C242" s="23" t="inlineStr">
        <is>
          <t>Hakama Well 9</t>
        </is>
      </c>
      <c r="D242" s="11" t="inlineStr">
        <is>
          <t>35.9113</t>
        </is>
      </c>
      <c r="E242" s="11" t="inlineStr">
        <is>
          <t>32.583</t>
        </is>
      </c>
      <c r="H242" s="20">
        <f>IFERROR(VLOOKUP(A242,[1]PIVOT!$B$4:$E$391,3,FALSE),"")</f>
        <v/>
      </c>
      <c r="I242" s="19">
        <f>H242/6000</f>
        <v/>
      </c>
      <c r="J242" s="19">
        <f>IFERROR(VLOOKUP(A242,[2]PIVOT!$A$4:$B$388,2,FALSE),"")</f>
        <v/>
      </c>
      <c r="K242" s="19">
        <f>J242/6000</f>
        <v/>
      </c>
      <c r="L242" s="21">
        <f>H242/J242-1</f>
        <v/>
      </c>
      <c r="M242" s="21">
        <f>VLOOKUP(A242,[1]PIVOT!$B$4:$C$400,2,FALSE)</f>
        <v/>
      </c>
      <c r="N242" s="19" t="n"/>
      <c r="Q242" s="20">
        <f>LEN(F242)</f>
        <v/>
      </c>
      <c r="W242" s="20">
        <f>LEN(G242)</f>
        <v/>
      </c>
    </row>
    <row r="243" ht="27" customHeight="1">
      <c r="A243" s="9" t="inlineStr">
        <is>
          <t>بئر حكما رقم 10</t>
        </is>
      </c>
      <c r="B243" s="10" t="inlineStr">
        <is>
          <t>بئر حكما (10)</t>
        </is>
      </c>
      <c r="C243" s="23" t="inlineStr">
        <is>
          <t>Hakama Well 10</t>
        </is>
      </c>
      <c r="D243" s="12" t="inlineStr">
        <is>
          <t>35.898603</t>
        </is>
      </c>
      <c r="E243" s="12" t="inlineStr">
        <is>
          <t>32.578002</t>
        </is>
      </c>
      <c r="H243" s="20">
        <f>IFERROR(VLOOKUP(A243,[1]PIVOT!$B$4:$E$391,3,FALSE),"")</f>
        <v/>
      </c>
      <c r="I243" s="19">
        <f>H243/6000</f>
        <v/>
      </c>
      <c r="J243" s="19">
        <f>IFERROR(VLOOKUP(A243,[2]PIVOT!$A$4:$B$388,2,FALSE),"")</f>
        <v/>
      </c>
      <c r="K243" s="19">
        <f>J243/6000</f>
        <v/>
      </c>
      <c r="L243" s="21">
        <f>H243/J243-1</f>
        <v/>
      </c>
      <c r="M243" s="21">
        <f>VLOOKUP(A243,[1]PIVOT!$B$4:$C$400,2,FALSE)</f>
        <v/>
      </c>
      <c r="N243" s="19" t="n"/>
      <c r="Q243" s="20">
        <f>LEN(F243)</f>
        <v/>
      </c>
      <c r="W243" s="20">
        <f>LEN(G243)</f>
        <v/>
      </c>
    </row>
    <row r="244" ht="27" customHeight="1">
      <c r="A244" s="9" t="inlineStr">
        <is>
          <t>بئر زقيق 5</t>
        </is>
      </c>
      <c r="B244" s="10" t="inlineStr">
        <is>
          <t>بئر زقيق (5)</t>
        </is>
      </c>
      <c r="C244" s="23" t="inlineStr">
        <is>
          <t>Zugayq Well 5</t>
        </is>
      </c>
      <c r="D244" s="11" t="inlineStr">
        <is>
          <t>35.6356</t>
        </is>
      </c>
      <c r="E244" s="11" t="inlineStr">
        <is>
          <t>32.3812</t>
        </is>
      </c>
      <c r="H244" s="20">
        <f>IFERROR(VLOOKUP(A244,[1]PIVOT!$B$4:$E$391,3,FALSE),"")</f>
        <v/>
      </c>
      <c r="I244" s="19">
        <f>H244/6000</f>
        <v/>
      </c>
      <c r="J244" s="19">
        <f>IFERROR(VLOOKUP(A244,[2]PIVOT!$A$4:$B$388,2,FALSE),"")</f>
        <v/>
      </c>
      <c r="K244" s="19">
        <f>J244/6000</f>
        <v/>
      </c>
      <c r="L244" s="21">
        <f>H244/J244-1</f>
        <v/>
      </c>
      <c r="M244" s="21">
        <f>VLOOKUP(A244,[1]PIVOT!$B$4:$C$400,2,FALSE)</f>
        <v/>
      </c>
      <c r="N244" s="19" t="n"/>
      <c r="Q244" s="20">
        <f>LEN(F244)</f>
        <v/>
      </c>
      <c r="W244" s="20">
        <f>LEN(G244)</f>
        <v/>
      </c>
    </row>
    <row r="245" ht="27" customHeight="1">
      <c r="A245" s="9" t="inlineStr">
        <is>
          <t>بئر زقيق رقم 4</t>
        </is>
      </c>
      <c r="B245" s="10" t="inlineStr">
        <is>
          <t>بئر زقيق (4)</t>
        </is>
      </c>
      <c r="C245" s="23" t="inlineStr">
        <is>
          <t>Zugayq Well  4</t>
        </is>
      </c>
      <c r="D245" s="12" t="inlineStr">
        <is>
          <t>35.629576</t>
        </is>
      </c>
      <c r="E245" s="12" t="inlineStr">
        <is>
          <t>32.379868</t>
        </is>
      </c>
      <c r="H245" s="20">
        <f>IFERROR(VLOOKUP(A245,[1]PIVOT!$B$4:$E$391,3,FALSE),"")</f>
        <v/>
      </c>
      <c r="I245" s="19">
        <f>H245/6000</f>
        <v/>
      </c>
      <c r="J245" s="19">
        <f>IFERROR(VLOOKUP(A245,[2]PIVOT!$A$4:$B$388,2,FALSE),"")</f>
        <v/>
      </c>
      <c r="K245" s="19">
        <f>J245/6000</f>
        <v/>
      </c>
      <c r="L245" s="21">
        <f>H245/J245-1</f>
        <v/>
      </c>
      <c r="M245" s="21">
        <f>VLOOKUP(A245,[1]PIVOT!$B$4:$C$400,2,FALSE)</f>
        <v/>
      </c>
      <c r="N245" s="19" t="n"/>
      <c r="Q245" s="20">
        <f>LEN(F245)</f>
        <v/>
      </c>
      <c r="W245" s="20">
        <f>LEN(G245)</f>
        <v/>
      </c>
    </row>
    <row r="246" ht="27" customHeight="1">
      <c r="A246" s="9" t="inlineStr">
        <is>
          <t>بئر سلطة المياه الجديد</t>
        </is>
      </c>
      <c r="B246" s="10" t="inlineStr">
        <is>
          <t>بئر مشرف الباعج (3)/ الجديد</t>
        </is>
      </c>
      <c r="C246" s="23" t="inlineStr">
        <is>
          <t>El Ba'aj 3</t>
        </is>
      </c>
      <c r="D246" s="12" t="inlineStr">
        <is>
          <t>36.348524</t>
        </is>
      </c>
      <c r="E246" s="12" t="inlineStr">
        <is>
          <t>32.382776</t>
        </is>
      </c>
      <c r="H246" s="20">
        <f>IFERROR(VLOOKUP(A246,[1]PIVOT!$B$4:$E$391,3,FALSE),"")</f>
        <v/>
      </c>
      <c r="I246" s="19">
        <f>H246/6000</f>
        <v/>
      </c>
      <c r="J246" s="19">
        <f>IFERROR(VLOOKUP(A246,[2]PIVOT!$A$4:$B$388,2,FALSE),"")</f>
        <v/>
      </c>
      <c r="K246" s="19">
        <f>J246/6000</f>
        <v/>
      </c>
      <c r="L246" s="21">
        <f>H246/J246-1</f>
        <v/>
      </c>
      <c r="M246" s="21">
        <f>VLOOKUP(A246,[1]PIVOT!$B$4:$C$400,2,FALSE)</f>
        <v/>
      </c>
      <c r="N246" s="19" t="n"/>
      <c r="Q246" s="20">
        <f>LEN(F246)</f>
        <v/>
      </c>
      <c r="W246" s="20">
        <f>LEN(G246)</f>
        <v/>
      </c>
    </row>
    <row r="247" ht="27" customHeight="1">
      <c r="A247" s="9" t="inlineStr">
        <is>
          <t>بئر سلطة المياه رقم109.5</t>
        </is>
      </c>
      <c r="B247" s="10" t="inlineStr">
        <is>
          <t>بئر العاقب ك 109.5</t>
        </is>
      </c>
      <c r="C247" s="24" t="e">
        <v>#N/A</v>
      </c>
      <c r="D247" s="12" t="inlineStr">
        <is>
          <t>36.583831</t>
        </is>
      </c>
      <c r="E247" s="12" t="inlineStr">
        <is>
          <t>32.233631</t>
        </is>
      </c>
      <c r="H247" s="20">
        <f>IFERROR(VLOOKUP(A247,[1]PIVOT!$B$4:$E$391,3,FALSE),"")</f>
        <v/>
      </c>
      <c r="I247" s="19">
        <f>H247/6000</f>
        <v/>
      </c>
      <c r="J247" s="19">
        <f>IFERROR(VLOOKUP(A247,[2]PIVOT!$A$4:$B$388,2,FALSE),"")</f>
        <v/>
      </c>
      <c r="K247" s="19">
        <f>J247/6000</f>
        <v/>
      </c>
      <c r="L247" s="21">
        <f>H247/J247-1</f>
        <v/>
      </c>
      <c r="M247" s="21">
        <f>VLOOKUP(A247,[1]PIVOT!$B$4:$C$400,2,FALSE)</f>
        <v/>
      </c>
      <c r="N247" s="19" t="n"/>
      <c r="Q247" s="20">
        <f>LEN(F247)</f>
        <v/>
      </c>
      <c r="W247" s="20">
        <f>LEN(G247)</f>
        <v/>
      </c>
    </row>
    <row r="248" ht="27" customHeight="1">
      <c r="A248" s="9" t="inlineStr">
        <is>
          <t>بئر سلطة المياه/2</t>
        </is>
      </c>
      <c r="B248" s="10" t="inlineStr">
        <is>
          <t>بئر ومحطة ضخ مياه رحاب</t>
        </is>
      </c>
      <c r="C248" s="23" t="inlineStr">
        <is>
          <t>Hamamit Alamoush</t>
        </is>
      </c>
      <c r="D248" s="11" t="inlineStr">
        <is>
          <t>36.04391861</t>
        </is>
      </c>
      <c r="E248" s="11" t="inlineStr">
        <is>
          <t>32.32297079</t>
        </is>
      </c>
      <c r="H248" s="20">
        <f>IFERROR(VLOOKUP(A248,[1]PIVOT!$B$4:$E$391,3,FALSE),"")</f>
        <v/>
      </c>
      <c r="I248" s="19">
        <f>H248/6000</f>
        <v/>
      </c>
      <c r="J248" s="19">
        <f>IFERROR(VLOOKUP(A248,[2]PIVOT!$A$4:$B$388,2,FALSE),"")</f>
        <v/>
      </c>
      <c r="K248" s="19">
        <f>J248/6000</f>
        <v/>
      </c>
      <c r="L248" s="21">
        <f>H248/J248-1</f>
        <v/>
      </c>
      <c r="M248" s="21">
        <f>VLOOKUP(A248,[1]PIVOT!$B$4:$C$400,2,FALSE)</f>
        <v/>
      </c>
      <c r="N248" s="19" t="n"/>
      <c r="Q248" s="20">
        <f>LEN(F248)</f>
        <v/>
      </c>
      <c r="W248" s="20">
        <f>LEN(G248)</f>
        <v/>
      </c>
    </row>
    <row r="249" ht="27" customHeight="1">
      <c r="A249" s="9" t="inlineStr">
        <is>
          <t>بئر سلطة المياه/تلعة الرز</t>
        </is>
      </c>
      <c r="B249" s="10" t="inlineStr">
        <is>
          <t>بئر تلعة الرز</t>
        </is>
      </c>
      <c r="C249" s="23" t="inlineStr">
        <is>
          <t>Talat Aruz Well and PS</t>
        </is>
      </c>
      <c r="D249" s="11" t="inlineStr">
        <is>
          <t>35.86105077</t>
        </is>
      </c>
      <c r="E249" s="11" t="inlineStr">
        <is>
          <t>32.17491543</t>
        </is>
      </c>
      <c r="H249" s="20">
        <f>IFERROR(VLOOKUP(A249,[1]PIVOT!$B$4:$E$391,3,FALSE),"")</f>
        <v/>
      </c>
      <c r="I249" s="19">
        <f>H249/6000</f>
        <v/>
      </c>
      <c r="J249" s="19">
        <f>IFERROR(VLOOKUP(A249,[2]PIVOT!$A$4:$B$388,2,FALSE),"")</f>
        <v/>
      </c>
      <c r="K249" s="19">
        <f>J249/6000</f>
        <v/>
      </c>
      <c r="L249" s="21">
        <f>H249/J249-1</f>
        <v/>
      </c>
      <c r="M249" s="21">
        <f>VLOOKUP(A249,[1]PIVOT!$B$4:$C$400,2,FALSE)</f>
        <v/>
      </c>
      <c r="N249" s="19" t="n"/>
      <c r="Q249" s="20">
        <f>LEN(F249)</f>
        <v/>
      </c>
      <c r="W249" s="20">
        <f>LEN(G249)</f>
        <v/>
      </c>
    </row>
    <row r="250" ht="27" customHeight="1">
      <c r="A250" s="9" t="inlineStr">
        <is>
          <t>بئر سلطة المياه10</t>
        </is>
      </c>
      <c r="B250" s="10" t="inlineStr">
        <is>
          <t>بئر الزنيه (10)</t>
        </is>
      </c>
      <c r="C250" s="23" t="inlineStr">
        <is>
          <t>Znaya Well 10</t>
        </is>
      </c>
      <c r="D250" s="11" t="inlineStr">
        <is>
          <t>36.15824574</t>
        </is>
      </c>
      <c r="E250" s="11" t="inlineStr">
        <is>
          <t>32.21129202</t>
        </is>
      </c>
      <c r="H250" s="20">
        <f>IFERROR(VLOOKUP(A250,[1]PIVOT!$B$4:$E$391,3,FALSE),"")</f>
        <v/>
      </c>
      <c r="I250" s="19">
        <f>H250/6000</f>
        <v/>
      </c>
      <c r="J250" s="19">
        <f>IFERROR(VLOOKUP(A250,[2]PIVOT!$A$4:$B$388,2,FALSE),"")</f>
        <v/>
      </c>
      <c r="K250" s="19">
        <f>J250/6000</f>
        <v/>
      </c>
      <c r="L250" s="21">
        <f>H250/J250-1</f>
        <v/>
      </c>
      <c r="M250" s="21">
        <f>VLOOKUP(A250,[1]PIVOT!$B$4:$C$400,2,FALSE)</f>
        <v/>
      </c>
      <c r="N250" s="19" t="n"/>
      <c r="Q250" s="20">
        <f>LEN(F250)</f>
        <v/>
      </c>
      <c r="W250" s="20">
        <f>LEN(G250)</f>
        <v/>
      </c>
    </row>
    <row r="251" ht="27" customHeight="1">
      <c r="A251" s="9" t="inlineStr">
        <is>
          <t>بئر سوف /3 الجديد</t>
        </is>
      </c>
      <c r="B251" s="10" t="inlineStr">
        <is>
          <t>بئر سوف (5)</t>
        </is>
      </c>
      <c r="C251" s="24" t="e">
        <v>#N/A</v>
      </c>
      <c r="D251" s="12" t="inlineStr">
        <is>
          <t>35.8551</t>
        </is>
      </c>
      <c r="E251" s="12" t="inlineStr">
        <is>
          <t>32.5645</t>
        </is>
      </c>
      <c r="H251" s="20">
        <f>IFERROR(VLOOKUP(A251,[1]PIVOT!$B$4:$E$391,3,FALSE),"")</f>
        <v/>
      </c>
      <c r="I251" s="19">
        <f>H251/6000</f>
        <v/>
      </c>
      <c r="J251" s="19">
        <f>IFERROR(VLOOKUP(A251,[2]PIVOT!$A$4:$B$388,2,FALSE),"")</f>
        <v/>
      </c>
      <c r="K251" s="19">
        <f>J251/6000</f>
        <v/>
      </c>
      <c r="L251" s="21">
        <f>H251/J251-1</f>
        <v/>
      </c>
      <c r="M251" s="21">
        <f>VLOOKUP(A251,[1]PIVOT!$B$4:$C$400,2,FALSE)</f>
        <v/>
      </c>
      <c r="N251" s="19" t="n"/>
      <c r="Q251" s="20">
        <f>LEN(F251)</f>
        <v/>
      </c>
      <c r="W251" s="20">
        <f>LEN(G251)</f>
        <v/>
      </c>
    </row>
    <row r="252" ht="27" customHeight="1">
      <c r="A252" s="9" t="inlineStr">
        <is>
          <t>بئر سويلمه رقم 5</t>
        </is>
      </c>
      <c r="B252" s="10" t="inlineStr">
        <is>
          <t>بئر سويلمه (5)</t>
        </is>
      </c>
      <c r="C252" s="23" t="inlineStr">
        <is>
          <t>Suwelmeh  Well 1</t>
        </is>
      </c>
      <c r="D252" s="11" t="inlineStr">
        <is>
          <t>36.1555</t>
        </is>
      </c>
      <c r="E252" s="11" t="inlineStr">
        <is>
          <t>32.4943</t>
        </is>
      </c>
      <c r="H252" s="20">
        <f>IFERROR(VLOOKUP(A252,[1]PIVOT!$B$4:$E$391,3,FALSE),"")</f>
        <v/>
      </c>
      <c r="I252" s="19">
        <f>H252/6000</f>
        <v/>
      </c>
      <c r="J252" s="19">
        <f>IFERROR(VLOOKUP(A252,[2]PIVOT!$A$4:$B$388,2,FALSE),"")</f>
        <v/>
      </c>
      <c r="K252" s="19">
        <f>J252/6000</f>
        <v/>
      </c>
      <c r="L252" s="21">
        <f>H252/J252-1</f>
        <v/>
      </c>
      <c r="M252" s="21">
        <f>VLOOKUP(A252,[1]PIVOT!$B$4:$C$400,2,FALSE)</f>
        <v/>
      </c>
      <c r="N252" s="19" t="n"/>
      <c r="Q252" s="20">
        <f>LEN(F252)</f>
        <v/>
      </c>
      <c r="W252" s="20">
        <f>LEN(G252)</f>
        <v/>
      </c>
    </row>
    <row r="253" ht="27" customHeight="1">
      <c r="A253" s="9" t="inlineStr">
        <is>
          <t>بئر عمره وعميره</t>
        </is>
      </c>
      <c r="B253" s="10" t="inlineStr">
        <is>
          <t>بئر عمره وعميره (3)</t>
        </is>
      </c>
      <c r="C253" s="24" t="e">
        <v>#N/A</v>
      </c>
      <c r="D253" s="12" t="inlineStr">
        <is>
          <t>35.8552</t>
        </is>
      </c>
      <c r="E253" s="12" t="inlineStr">
        <is>
          <t>32.5645</t>
        </is>
      </c>
      <c r="H253" s="20">
        <f>IFERROR(VLOOKUP(A253,[1]PIVOT!$B$4:$E$391,3,FALSE),"")</f>
        <v/>
      </c>
      <c r="I253" s="19">
        <f>H253/6000</f>
        <v/>
      </c>
      <c r="J253" s="19">
        <f>IFERROR(VLOOKUP(A253,[2]PIVOT!$A$4:$B$388,2,FALSE),"")</f>
        <v/>
      </c>
      <c r="K253" s="19">
        <f>J253/6000</f>
        <v/>
      </c>
      <c r="L253" s="21">
        <f>H253/J253-1</f>
        <v/>
      </c>
      <c r="M253" s="21">
        <f>VLOOKUP(A253,[1]PIVOT!$B$4:$C$400,2,FALSE)</f>
        <v/>
      </c>
      <c r="N253" s="19" t="n"/>
      <c r="Q253" s="20">
        <f>LEN(F253)</f>
        <v/>
      </c>
      <c r="W253" s="20">
        <f>LEN(G253)</f>
        <v/>
      </c>
    </row>
    <row r="254" ht="27" customHeight="1">
      <c r="A254" s="9" t="inlineStr">
        <is>
          <t>بئر عيون الحمام رقم 5</t>
        </is>
      </c>
      <c r="B254" s="10" t="inlineStr">
        <is>
          <t>بئر عيون الحمام (6)</t>
        </is>
      </c>
      <c r="C254" s="23" t="inlineStr">
        <is>
          <t>Oyoon Al Hammam Well 6</t>
        </is>
      </c>
      <c r="D254" s="11" t="inlineStr">
        <is>
          <t>35.69877828</t>
        </is>
      </c>
      <c r="E254" s="11" t="inlineStr">
        <is>
          <t>32.50928765</t>
        </is>
      </c>
      <c r="H254" s="20">
        <f>IFERROR(VLOOKUP(A254,[1]PIVOT!$B$4:$E$391,3,FALSE),"")</f>
        <v/>
      </c>
      <c r="I254" s="19">
        <f>H254/6000</f>
        <v/>
      </c>
      <c r="J254" s="19">
        <f>IFERROR(VLOOKUP(A254,[2]PIVOT!$A$4:$B$388,2,FALSE),"")</f>
        <v/>
      </c>
      <c r="K254" s="19">
        <f>J254/6000</f>
        <v/>
      </c>
      <c r="L254" s="21">
        <f>H254/J254-1</f>
        <v/>
      </c>
      <c r="M254" s="21">
        <f>VLOOKUP(A254,[1]PIVOT!$B$4:$C$400,2,FALSE)</f>
        <v/>
      </c>
      <c r="N254" s="19" t="n"/>
      <c r="Q254" s="20">
        <f>LEN(F254)</f>
        <v/>
      </c>
      <c r="W254" s="20">
        <f>LEN(G254)</f>
        <v/>
      </c>
    </row>
    <row r="255" ht="27" customHeight="1">
      <c r="A255" s="9" t="inlineStr">
        <is>
          <t>بئر ك 123</t>
        </is>
      </c>
      <c r="B255" s="10" t="inlineStr">
        <is>
          <t>بئر العاقب ك 123</t>
        </is>
      </c>
      <c r="C255" s="23" t="inlineStr">
        <is>
          <t>K123 Well</t>
        </is>
      </c>
      <c r="D255" s="12" t="inlineStr">
        <is>
          <t>36.705307</t>
        </is>
      </c>
      <c r="E255" s="12" t="inlineStr">
        <is>
          <t>32.190391</t>
        </is>
      </c>
      <c r="H255" s="20">
        <f>IFERROR(VLOOKUP(A255,[1]PIVOT!$B$4:$E$391,3,FALSE),"")</f>
        <v/>
      </c>
      <c r="I255" s="19">
        <f>H255/6000</f>
        <v/>
      </c>
      <c r="J255" s="19">
        <f>IFERROR(VLOOKUP(A255,[2]PIVOT!$A$4:$B$388,2,FALSE),"")</f>
        <v/>
      </c>
      <c r="K255" s="19">
        <f>J255/6000</f>
        <v/>
      </c>
      <c r="L255" s="21">
        <f>H255/J255-1</f>
        <v/>
      </c>
      <c r="M255" s="21">
        <f>VLOOKUP(A255,[1]PIVOT!$B$4:$C$400,2,FALSE)</f>
        <v/>
      </c>
      <c r="N255" s="19" t="n"/>
      <c r="Q255" s="20">
        <f>LEN(F255)</f>
        <v/>
      </c>
      <c r="W255" s="20">
        <f>LEN(G255)</f>
        <v/>
      </c>
    </row>
    <row r="256" ht="27" customHeight="1">
      <c r="A256" s="9" t="inlineStr">
        <is>
          <t>بئر ك 124 ب</t>
        </is>
      </c>
      <c r="B256" s="10" t="inlineStr">
        <is>
          <t>بئر العاقب ك 124.5</t>
        </is>
      </c>
      <c r="C256" s="23" t="inlineStr">
        <is>
          <t>Hlaiwa Well</t>
        </is>
      </c>
      <c r="D256" s="12" t="inlineStr">
        <is>
          <t>36.724408</t>
        </is>
      </c>
      <c r="E256" s="12" t="inlineStr">
        <is>
          <t>32.182191</t>
        </is>
      </c>
      <c r="H256" s="20">
        <f>IFERROR(VLOOKUP(A256,[1]PIVOT!$B$4:$E$391,3,FALSE),"")</f>
        <v/>
      </c>
      <c r="I256" s="19">
        <f>H256/6000</f>
        <v/>
      </c>
      <c r="J256" s="19">
        <f>IFERROR(VLOOKUP(A256,[2]PIVOT!$A$4:$B$388,2,FALSE),"")</f>
        <v/>
      </c>
      <c r="K256" s="19">
        <f>J256/6000</f>
        <v/>
      </c>
      <c r="L256" s="21">
        <f>H256/J256-1</f>
        <v/>
      </c>
      <c r="M256" s="21">
        <f>VLOOKUP(A256,[1]PIVOT!$B$4:$C$400,2,FALSE)</f>
        <v/>
      </c>
      <c r="N256" s="19" t="n"/>
      <c r="Q256" s="20">
        <f>LEN(F256)</f>
        <v/>
      </c>
      <c r="W256" s="20">
        <f>LEN(G256)</f>
        <v/>
      </c>
    </row>
    <row r="257" ht="27" customHeight="1">
      <c r="A257" s="9" t="inlineStr">
        <is>
          <t>بئر ك122</t>
        </is>
      </c>
      <c r="B257" s="10" t="inlineStr">
        <is>
          <t>بئر العاقب ك 122</t>
        </is>
      </c>
      <c r="C257" s="23" t="inlineStr">
        <is>
          <t>K122 Well</t>
        </is>
      </c>
      <c r="D257" s="11" t="inlineStr">
        <is>
          <t>36.6967</t>
        </is>
      </c>
      <c r="E257" s="11" t="inlineStr">
        <is>
          <t>32.194</t>
        </is>
      </c>
      <c r="H257" s="20">
        <f>IFERROR(VLOOKUP(A257,[1]PIVOT!$B$4:$E$391,3,FALSE),"")</f>
        <v/>
      </c>
      <c r="I257" s="19">
        <f>H257/6000</f>
        <v/>
      </c>
      <c r="J257" s="19">
        <f>IFERROR(VLOOKUP(A257,[2]PIVOT!$A$4:$B$388,2,FALSE),"")</f>
        <v/>
      </c>
      <c r="K257" s="19">
        <f>J257/6000</f>
        <v/>
      </c>
      <c r="L257" s="21">
        <f>H257/J257-1</f>
        <v/>
      </c>
      <c r="M257" s="21">
        <f>VLOOKUP(A257,[1]PIVOT!$B$4:$C$400,2,FALSE)</f>
        <v/>
      </c>
      <c r="N257" s="19" t="n"/>
      <c r="Q257" s="20">
        <f>LEN(F257)</f>
        <v/>
      </c>
      <c r="W257" s="20">
        <f>LEN(G257)</f>
        <v/>
      </c>
    </row>
    <row r="258" ht="27" customHeight="1">
      <c r="A258" s="9" t="inlineStr">
        <is>
          <t>بئر كردور122</t>
        </is>
      </c>
      <c r="B258" s="10" t="inlineStr">
        <is>
          <t>بئر الكوريدور (22)</t>
        </is>
      </c>
      <c r="C258" s="23" t="inlineStr">
        <is>
          <t>Corodor 22</t>
        </is>
      </c>
      <c r="D258" s="11" t="inlineStr">
        <is>
          <t>36.5074</t>
        </is>
      </c>
      <c r="E258" s="11" t="inlineStr">
        <is>
          <t>32.1722</t>
        </is>
      </c>
      <c r="H258" s="20">
        <f>IFERROR(VLOOKUP(A258,[1]PIVOT!$B$4:$E$391,3,FALSE),"")</f>
        <v/>
      </c>
      <c r="I258" s="19">
        <f>H258/6000</f>
        <v/>
      </c>
      <c r="J258" s="19">
        <f>IFERROR(VLOOKUP(A258,[2]PIVOT!$A$4:$B$388,2,FALSE),"")</f>
        <v/>
      </c>
      <c r="K258" s="19">
        <f>J258/6000</f>
        <v/>
      </c>
      <c r="L258" s="21">
        <f>H258/J258-1</f>
        <v/>
      </c>
      <c r="M258" s="21">
        <f>VLOOKUP(A258,[1]PIVOT!$B$4:$C$400,2,FALSE)</f>
        <v/>
      </c>
      <c r="N258" s="19" t="n"/>
      <c r="Q258" s="20">
        <f>LEN(F258)</f>
        <v/>
      </c>
      <c r="W258" s="20">
        <f>LEN(G258)</f>
        <v/>
      </c>
    </row>
    <row r="259" ht="27" customHeight="1">
      <c r="A259" s="9" t="inlineStr">
        <is>
          <t>بئر كفراسد / 8</t>
        </is>
      </c>
      <c r="B259" s="10" t="inlineStr">
        <is>
          <t>بئر كفراسد (8)</t>
        </is>
      </c>
      <c r="C259" s="23" t="inlineStr">
        <is>
          <t>Kufr Asad 8</t>
        </is>
      </c>
      <c r="D259" s="11" t="inlineStr">
        <is>
          <t>35.7173</t>
        </is>
      </c>
      <c r="E259" s="11" t="inlineStr">
        <is>
          <t>32.6228</t>
        </is>
      </c>
      <c r="H259" s="20">
        <f>IFERROR(VLOOKUP(A259,[1]PIVOT!$B$4:$E$391,3,FALSE),"")</f>
        <v/>
      </c>
      <c r="I259" s="19">
        <f>H259/6000</f>
        <v/>
      </c>
      <c r="J259" s="19">
        <f>IFERROR(VLOOKUP(A259,[2]PIVOT!$A$4:$B$388,2,FALSE),"")</f>
        <v/>
      </c>
      <c r="K259" s="19">
        <f>J259/6000</f>
        <v/>
      </c>
      <c r="L259" s="21">
        <f>H259/J259-1</f>
        <v/>
      </c>
      <c r="M259" s="21">
        <f>VLOOKUP(A259,[1]PIVOT!$B$4:$C$400,2,FALSE)</f>
        <v/>
      </c>
      <c r="N259" s="19" t="n"/>
      <c r="Q259" s="20">
        <f>LEN(F259)</f>
        <v/>
      </c>
      <c r="W259" s="20">
        <f>LEN(G259)</f>
        <v/>
      </c>
    </row>
    <row r="260" ht="27" customHeight="1">
      <c r="A260" s="9" t="inlineStr">
        <is>
          <t>بئر كفراسد /بوشهر</t>
        </is>
      </c>
      <c r="B260" s="10" t="inlineStr">
        <is>
          <t>محطة ضخ مياه سيفين</t>
        </is>
      </c>
      <c r="C260" s="23" t="inlineStr">
        <is>
          <t>Syfeen PS</t>
        </is>
      </c>
      <c r="D260" s="12" t="inlineStr">
        <is>
          <t>35.715945</t>
        </is>
      </c>
      <c r="E260" s="12" t="inlineStr">
        <is>
          <t>32.631468</t>
        </is>
      </c>
      <c r="H260" s="20">
        <f>IFERROR(VLOOKUP(A260,[1]PIVOT!$B$4:$E$391,3,FALSE),"")</f>
        <v/>
      </c>
      <c r="I260" s="19">
        <f>H260/6000</f>
        <v/>
      </c>
      <c r="J260" s="19">
        <f>IFERROR(VLOOKUP(A260,[2]PIVOT!$A$4:$B$388,2,FALSE),"")</f>
        <v/>
      </c>
      <c r="K260" s="19">
        <f>J260/6000</f>
        <v/>
      </c>
      <c r="L260" s="21">
        <f>H260/J260-1</f>
        <v/>
      </c>
      <c r="M260" s="21">
        <f>VLOOKUP(A260,[1]PIVOT!$B$4:$C$400,2,FALSE)</f>
        <v/>
      </c>
      <c r="N260" s="19" t="n"/>
      <c r="Q260" s="20">
        <f>LEN(F260)</f>
        <v/>
      </c>
      <c r="W260" s="20">
        <f>LEN(G260)</f>
        <v/>
      </c>
    </row>
    <row r="261" ht="27" customHeight="1">
      <c r="A261" s="9" t="inlineStr">
        <is>
          <t>بئر كفراسد 7</t>
        </is>
      </c>
      <c r="B261" s="10" t="inlineStr">
        <is>
          <t>بئر كفراسد (7)</t>
        </is>
      </c>
      <c r="C261" s="24" t="e">
        <v>#N/A</v>
      </c>
      <c r="D261" s="11" t="inlineStr">
        <is>
          <t>35.7073</t>
        </is>
      </c>
      <c r="E261" s="11" t="inlineStr">
        <is>
          <t>32.605</t>
        </is>
      </c>
      <c r="H261" s="20">
        <f>IFERROR(VLOOKUP(A261,[1]PIVOT!$B$4:$E$391,3,FALSE),"")</f>
        <v/>
      </c>
      <c r="I261" s="19">
        <f>H261/6000</f>
        <v/>
      </c>
      <c r="J261" s="19">
        <f>IFERROR(VLOOKUP(A261,[2]PIVOT!$A$4:$B$388,2,FALSE),"")</f>
        <v/>
      </c>
      <c r="K261" s="19">
        <f>J261/6000</f>
        <v/>
      </c>
      <c r="L261" s="21">
        <f>H261/J261-1</f>
        <v/>
      </c>
      <c r="M261" s="21">
        <f>VLOOKUP(A261,[1]PIVOT!$B$4:$C$400,2,FALSE)</f>
        <v/>
      </c>
      <c r="N261" s="19" t="n"/>
      <c r="Q261" s="20">
        <f>LEN(F261)</f>
        <v/>
      </c>
      <c r="W261" s="20">
        <f>LEN(G261)</f>
        <v/>
      </c>
    </row>
    <row r="262" ht="27" customHeight="1">
      <c r="A262" s="9" t="inlineStr">
        <is>
          <t>بئر كفراسد/5</t>
        </is>
      </c>
      <c r="B262" s="10" t="inlineStr">
        <is>
          <t>بئر ومحطة ضخ مياه كفراسد (6)</t>
        </is>
      </c>
      <c r="C262" s="23" t="inlineStr">
        <is>
          <t>Kufr Asad  Weel6 $ Res.</t>
        </is>
      </c>
      <c r="D262" s="11" t="inlineStr">
        <is>
          <t>35.71251761</t>
        </is>
      </c>
      <c r="E262" s="11" t="inlineStr">
        <is>
          <t>32.62286382</t>
        </is>
      </c>
      <c r="F262" s="20" t="n"/>
      <c r="G262" s="20" t="n"/>
      <c r="H262" s="20">
        <f>IFERROR(VLOOKUP(A262,[1]PIVOT!$B$4:$E$391,3,FALSE),"")</f>
        <v/>
      </c>
      <c r="I262" s="19">
        <f>H262/6000</f>
        <v/>
      </c>
      <c r="J262" s="19">
        <f>IFERROR(VLOOKUP(A262,[2]PIVOT!$A$4:$B$388,2,FALSE),"")</f>
        <v/>
      </c>
      <c r="K262" s="19">
        <f>J262/6000</f>
        <v/>
      </c>
      <c r="L262" s="21">
        <f>H262/J262-1</f>
        <v/>
      </c>
      <c r="M262" s="21">
        <f>VLOOKUP(A262,[1]PIVOT!$B$4:$C$400,2,FALSE)</f>
        <v/>
      </c>
      <c r="N262" s="19" t="n"/>
      <c r="Q262" s="20">
        <f>LEN(F262)</f>
        <v/>
      </c>
      <c r="W262" s="20">
        <f>LEN(G262)</f>
        <v/>
      </c>
    </row>
    <row r="263" ht="27" customHeight="1">
      <c r="A263" s="9" t="inlineStr">
        <is>
          <t>بئر كفراسد/6</t>
        </is>
      </c>
      <c r="B263" s="10" t="inlineStr">
        <is>
          <t>بئر كفراسد (5)</t>
        </is>
      </c>
      <c r="C263" s="23" t="inlineStr">
        <is>
          <t>Kufr Asad Well 5</t>
        </is>
      </c>
      <c r="D263" s="11" t="inlineStr">
        <is>
          <t>35.70722098</t>
        </is>
      </c>
      <c r="E263" s="11" t="inlineStr">
        <is>
          <t>32.62625117</t>
        </is>
      </c>
      <c r="H263" s="20">
        <f>IFERROR(VLOOKUP(A263,[1]PIVOT!$B$4:$E$391,3,FALSE),"")</f>
        <v/>
      </c>
      <c r="I263" s="19">
        <f>H263/6000</f>
        <v/>
      </c>
      <c r="J263" s="19">
        <f>IFERROR(VLOOKUP(A263,[2]PIVOT!$A$4:$B$388,2,FALSE),"")</f>
        <v/>
      </c>
      <c r="K263" s="19">
        <f>J263/6000</f>
        <v/>
      </c>
      <c r="L263" s="21">
        <f>H263/J263-1</f>
        <v/>
      </c>
      <c r="M263" s="21">
        <f>VLOOKUP(A263,[1]PIVOT!$B$4:$C$400,2,FALSE)</f>
        <v/>
      </c>
      <c r="N263" s="19" t="n"/>
      <c r="Q263" s="20">
        <f>LEN(F263)</f>
        <v/>
      </c>
      <c r="W263" s="20">
        <f>LEN(G263)</f>
        <v/>
      </c>
    </row>
    <row r="264" ht="27" customHeight="1">
      <c r="A264" s="9" t="inlineStr">
        <is>
          <t>بئر كفراسد/سلطة المياه</t>
        </is>
      </c>
      <c r="B264" s="10" t="inlineStr">
        <is>
          <t>بئر كفراسد (3)</t>
        </is>
      </c>
      <c r="C264" s="23" t="inlineStr">
        <is>
          <t>Kufr Asad Well 3 PS &amp; Res.</t>
        </is>
      </c>
      <c r="D264" s="11" t="inlineStr">
        <is>
          <t>35.70229285</t>
        </is>
      </c>
      <c r="E264" s="11" t="inlineStr">
        <is>
          <t>32.626682</t>
        </is>
      </c>
      <c r="H264" s="20">
        <f>IFERROR(VLOOKUP(A264,[1]PIVOT!$B$4:$E$391,3,FALSE),"")</f>
        <v/>
      </c>
      <c r="I264" s="19">
        <f>H264/6000</f>
        <v/>
      </c>
      <c r="J264" s="19">
        <f>IFERROR(VLOOKUP(A264,[2]PIVOT!$A$4:$B$388,2,FALSE),"")</f>
        <v/>
      </c>
      <c r="K264" s="19">
        <f>J264/6000</f>
        <v/>
      </c>
      <c r="L264" s="21">
        <f>H264/J264-1</f>
        <v/>
      </c>
      <c r="M264" s="21">
        <f>VLOOKUP(A264,[1]PIVOT!$B$4:$C$400,2,FALSE)</f>
        <v/>
      </c>
      <c r="N264" s="19" t="n"/>
      <c r="Q264" s="20">
        <f>LEN(F264)</f>
        <v/>
      </c>
      <c r="W264" s="20">
        <f>LEN(G264)</f>
        <v/>
      </c>
    </row>
    <row r="265" ht="27" customHeight="1">
      <c r="A265" s="9" t="inlineStr">
        <is>
          <t>بئر كفراسد/سلطة المياه</t>
        </is>
      </c>
      <c r="B265" s="10" t="inlineStr">
        <is>
          <t>بئر كفراسد (4)</t>
        </is>
      </c>
      <c r="C265" s="23" t="inlineStr">
        <is>
          <t>Kufr Asad Well 4</t>
        </is>
      </c>
      <c r="D265" s="11" t="inlineStr">
        <is>
          <t>35.69051874</t>
        </is>
      </c>
      <c r="E265" s="11" t="inlineStr">
        <is>
          <t>32.63192811</t>
        </is>
      </c>
      <c r="H265" s="20" t="n"/>
      <c r="I265" s="19">
        <f>H265/6000</f>
        <v/>
      </c>
      <c r="J265" s="19">
        <f>IFERROR(VLOOKUP(A265,[2]PIVOT!$A$4:$B$388,2,FALSE),"")</f>
        <v/>
      </c>
      <c r="K265" s="19">
        <f>J265/6000</f>
        <v/>
      </c>
      <c r="L265" s="21">
        <f>H265/J265-1</f>
        <v/>
      </c>
      <c r="M265" s="21">
        <f>VLOOKUP(A265,[1]PIVOT!$B$4:$C$400,2,FALSE)</f>
        <v/>
      </c>
      <c r="N265" s="19" t="n"/>
      <c r="Q265" s="20">
        <f>LEN(F265)</f>
        <v/>
      </c>
      <c r="W265" s="20">
        <f>LEN(G265)</f>
        <v/>
      </c>
    </row>
    <row r="266" ht="27" customHeight="1">
      <c r="A266" s="9" t="inlineStr">
        <is>
          <t>بئر ماء ابو البصل رقم 4</t>
        </is>
      </c>
      <c r="B266" s="10" t="inlineStr">
        <is>
          <t>بئر ابو البصل (4)</t>
        </is>
      </c>
      <c r="C266" s="23" t="inlineStr">
        <is>
          <t>Abu Al-basal Well 4</t>
        </is>
      </c>
      <c r="D266" s="11" t="inlineStr">
        <is>
          <t>35.96001606</t>
        </is>
      </c>
      <c r="E266" s="11" t="inlineStr">
        <is>
          <t>32.56522635</t>
        </is>
      </c>
      <c r="H266" s="20">
        <f>IFERROR(VLOOKUP(A266,[1]PIVOT!$B$4:$E$391,3,FALSE),"")</f>
        <v/>
      </c>
      <c r="I266" s="19">
        <f>H266/6000</f>
        <v/>
      </c>
      <c r="J266" s="19">
        <f>IFERROR(VLOOKUP(A266,[2]PIVOT!$A$4:$B$388,2,FALSE),"")</f>
        <v/>
      </c>
      <c r="K266" s="19">
        <f>J266/6000</f>
        <v/>
      </c>
      <c r="L266" s="21">
        <f>H266/J266-1</f>
        <v/>
      </c>
      <c r="M266" s="21">
        <f>VLOOKUP(A266,[1]PIVOT!$B$4:$C$400,2,FALSE)</f>
        <v/>
      </c>
      <c r="N266" s="19" t="n"/>
      <c r="Q266" s="20">
        <f>LEN(F266)</f>
        <v/>
      </c>
      <c r="W266" s="20">
        <f>LEN(G266)</f>
        <v/>
      </c>
    </row>
    <row r="267" ht="27" customHeight="1">
      <c r="A267" s="9" t="inlineStr">
        <is>
          <t>بئر مرصع /1</t>
        </is>
      </c>
      <c r="B267" s="10" t="inlineStr">
        <is>
          <t>بئر مرصع</t>
        </is>
      </c>
      <c r="C267" s="23" t="inlineStr">
        <is>
          <t>Marsa’ 1 Well</t>
        </is>
      </c>
      <c r="D267" s="11" t="inlineStr">
        <is>
          <t>35.8837</t>
        </is>
      </c>
      <c r="E267" s="11" t="inlineStr">
        <is>
          <t>32.1437</t>
        </is>
      </c>
      <c r="H267" s="20">
        <f>IFERROR(VLOOKUP(A267,[1]PIVOT!$B$4:$E$391,3,FALSE),"")</f>
        <v/>
      </c>
      <c r="I267" s="19">
        <f>H267/6000</f>
        <v/>
      </c>
      <c r="J267" s="19">
        <f>IFERROR(VLOOKUP(A267,[2]PIVOT!$A$4:$B$388,2,FALSE),"")</f>
        <v/>
      </c>
      <c r="K267" s="19">
        <f>J267/6000</f>
        <v/>
      </c>
      <c r="L267" s="21">
        <f>H267/J267-1</f>
        <v/>
      </c>
      <c r="M267" s="21">
        <f>VLOOKUP(A267,[1]PIVOT!$B$4:$C$400,2,FALSE)</f>
        <v/>
      </c>
      <c r="N267" s="19" t="n"/>
      <c r="Q267" s="20">
        <f>LEN(F267)</f>
        <v/>
      </c>
      <c r="W267" s="20">
        <f>LEN(G267)</f>
        <v/>
      </c>
    </row>
    <row r="268" ht="27" customHeight="1">
      <c r="A268" s="9" t="inlineStr">
        <is>
          <t>بئر مركز حدود جابر /2</t>
        </is>
      </c>
      <c r="B268" s="10" t="inlineStr">
        <is>
          <t xml:space="preserve"> (2)بئر حدود جابر</t>
        </is>
      </c>
      <c r="C268" s="23" t="inlineStr">
        <is>
          <t>Center Al Hudud Jaber Well 2</t>
        </is>
      </c>
      <c r="D268" s="11" t="inlineStr">
        <is>
          <t>36.2012</t>
        </is>
      </c>
      <c r="E268" s="11" t="inlineStr">
        <is>
          <t>32.5163</t>
        </is>
      </c>
      <c r="H268" s="20">
        <f>IFERROR(VLOOKUP(A268,[1]PIVOT!$B$4:$E$391,3,FALSE),"")</f>
        <v/>
      </c>
      <c r="I268" s="19">
        <f>H268/6000</f>
        <v/>
      </c>
      <c r="J268" s="19">
        <f>IFERROR(VLOOKUP(A268,[2]PIVOT!$A$4:$B$388,2,FALSE),"")</f>
        <v/>
      </c>
      <c r="K268" s="19">
        <f>J268/6000</f>
        <v/>
      </c>
      <c r="L268" s="21">
        <f>H268/J268-1</f>
        <v/>
      </c>
      <c r="M268" s="21">
        <f>VLOOKUP(A268,[1]PIVOT!$B$4:$C$400,2,FALSE)</f>
        <v/>
      </c>
      <c r="N268" s="19" t="n"/>
      <c r="Q268" s="20">
        <f>LEN(F268)</f>
        <v/>
      </c>
      <c r="W268" s="20">
        <f>LEN(G268)</f>
        <v/>
      </c>
    </row>
    <row r="269" ht="27" customHeight="1">
      <c r="A269" s="9" t="inlineStr">
        <is>
          <t>بئر مشتل فيصل 7</t>
        </is>
      </c>
      <c r="B269" s="10" t="inlineStr">
        <is>
          <t>بئر مشتل فيصل (7)</t>
        </is>
      </c>
      <c r="C269" s="23" t="inlineStr">
        <is>
          <t>mashtal faysal well 7</t>
        </is>
      </c>
      <c r="D269" s="11" t="inlineStr">
        <is>
          <t>35.8893</t>
        </is>
      </c>
      <c r="E269" s="11" t="inlineStr">
        <is>
          <t>32.2139</t>
        </is>
      </c>
      <c r="H269" s="20">
        <f>IFERROR(VLOOKUP(A269,[1]PIVOT!$B$4:$E$391,3,FALSE),"")</f>
        <v/>
      </c>
      <c r="I269" s="19">
        <f>H269/6000</f>
        <v/>
      </c>
      <c r="J269" s="19">
        <f>IFERROR(VLOOKUP(A269,[2]PIVOT!$A$4:$B$388,2,FALSE),"")</f>
        <v/>
      </c>
      <c r="K269" s="19">
        <f>J269/6000</f>
        <v/>
      </c>
      <c r="L269" s="21">
        <f>H269/J269-1</f>
        <v/>
      </c>
      <c r="M269" s="21">
        <f>VLOOKUP(A269,[1]PIVOT!$B$4:$C$400,2,FALSE)</f>
        <v/>
      </c>
      <c r="N269" s="19" t="n"/>
      <c r="Q269" s="20">
        <f>LEN(F269)</f>
        <v/>
      </c>
      <c r="W269" s="20">
        <f>LEN(G269)</f>
        <v/>
      </c>
    </row>
    <row r="270" ht="27" customHeight="1">
      <c r="A270" s="9" t="inlineStr">
        <is>
          <t>بئر مشتل فيصل الجديد</t>
        </is>
      </c>
      <c r="B270" s="10" t="inlineStr">
        <is>
          <t>بئر مشتل فيصل (8)</t>
        </is>
      </c>
      <c r="C270" s="23" t="inlineStr">
        <is>
          <t>Mashtal Faysal well 8</t>
        </is>
      </c>
      <c r="D270" s="11" t="inlineStr">
        <is>
          <t>35.8914</t>
        </is>
      </c>
      <c r="E270" s="11" t="inlineStr">
        <is>
          <t>32.2194</t>
        </is>
      </c>
      <c r="H270" s="20">
        <f>IFERROR(VLOOKUP(A270,[1]PIVOT!$B$4:$E$391,3,FALSE),"")</f>
        <v/>
      </c>
      <c r="I270" s="19">
        <f>H270/6000</f>
        <v/>
      </c>
      <c r="J270" s="19">
        <f>IFERROR(VLOOKUP(A270,[2]PIVOT!$A$4:$B$388,2,FALSE),"")</f>
        <v/>
      </c>
      <c r="K270" s="19">
        <f>J270/6000</f>
        <v/>
      </c>
      <c r="L270" s="21">
        <f>H270/J270-1</f>
        <v/>
      </c>
      <c r="M270" s="21">
        <f>VLOOKUP(A270,[1]PIVOT!$B$4:$C$400,2,FALSE)</f>
        <v/>
      </c>
      <c r="N270" s="19" t="n"/>
      <c r="Q270" s="20">
        <f>LEN(F270)</f>
        <v/>
      </c>
      <c r="W270" s="20">
        <f>LEN(G270)</f>
        <v/>
      </c>
    </row>
    <row r="271" ht="27" customHeight="1">
      <c r="A271" s="9" t="inlineStr">
        <is>
          <t>بئر مشتل فيصل رقم  4</t>
        </is>
      </c>
      <c r="B271" s="10" t="inlineStr">
        <is>
          <t>بئر مشتل فيصل (4)</t>
        </is>
      </c>
      <c r="C271" s="24" t="e">
        <v>#N/A</v>
      </c>
      <c r="D271" s="12" t="inlineStr">
        <is>
          <t>35.892978</t>
        </is>
      </c>
      <c r="E271" s="12" t="inlineStr">
        <is>
          <t>32.223488</t>
        </is>
      </c>
      <c r="H271" s="20">
        <f>IFERROR(VLOOKUP(A271,[1]PIVOT!$B$4:$E$391,3,FALSE),"")</f>
        <v/>
      </c>
      <c r="I271" s="19">
        <f>H271/6000</f>
        <v/>
      </c>
      <c r="J271" s="19">
        <f>IFERROR(VLOOKUP(A271,[2]PIVOT!$A$4:$B$388,2,FALSE),"")</f>
        <v/>
      </c>
      <c r="K271" s="19">
        <f>J271/6000</f>
        <v/>
      </c>
      <c r="L271" s="21">
        <f>H271/J271-1</f>
        <v/>
      </c>
      <c r="M271" s="21">
        <f>VLOOKUP(A271,[1]PIVOT!$B$4:$C$400,2,FALSE)</f>
        <v/>
      </c>
      <c r="N271" s="19" t="n"/>
      <c r="Q271" s="20">
        <f>LEN(F271)</f>
        <v/>
      </c>
      <c r="W271" s="20">
        <f>LEN(G271)</f>
        <v/>
      </c>
    </row>
    <row r="272" ht="27" customHeight="1">
      <c r="A272" s="9" t="inlineStr">
        <is>
          <t>بئر مشتل فيصل رقم 1</t>
        </is>
      </c>
      <c r="B272" s="10" t="inlineStr">
        <is>
          <t>بئر مشتل فيصل (1)+(5)</t>
        </is>
      </c>
      <c r="C272" s="30" t="inlineStr">
        <is>
          <t>mashtal faysal well 1 , Mashtal Faysal well 5</t>
        </is>
      </c>
      <c r="D272" s="11" t="inlineStr">
        <is>
          <t>35.891</t>
        </is>
      </c>
      <c r="E272" s="11" t="inlineStr">
        <is>
          <t>32.2157</t>
        </is>
      </c>
      <c r="H272" s="20">
        <f>IFERROR(VLOOKUP(A272,[1]PIVOT!$B$4:$E$391,3,FALSE),"")</f>
        <v/>
      </c>
      <c r="I272" s="19">
        <f>H272/6000</f>
        <v/>
      </c>
      <c r="J272" s="19">
        <f>IFERROR(VLOOKUP(A272,[2]PIVOT!$A$4:$B$388,2,FALSE),"")</f>
        <v/>
      </c>
      <c r="K272" s="19">
        <f>J272/6000</f>
        <v/>
      </c>
      <c r="L272" s="21">
        <f>H272/J272-1</f>
        <v/>
      </c>
      <c r="M272" s="21">
        <f>VLOOKUP(A272,[1]PIVOT!$B$4:$C$400,2,FALSE)</f>
        <v/>
      </c>
      <c r="N272" s="19" t="n"/>
      <c r="Q272" s="20">
        <f>LEN(F272)</f>
        <v/>
      </c>
      <c r="W272" s="20">
        <f>LEN(G272)</f>
        <v/>
      </c>
    </row>
    <row r="273" ht="27" customHeight="1">
      <c r="A273" s="9" t="inlineStr">
        <is>
          <t>بئر مشتل فيصل رقم 2</t>
        </is>
      </c>
      <c r="B273" s="10" t="inlineStr">
        <is>
          <t>بئر مشتل فيصل (2)</t>
        </is>
      </c>
      <c r="C273" s="23" t="inlineStr">
        <is>
          <t>Mashtal Faysal well 2</t>
        </is>
      </c>
      <c r="D273" s="12" t="inlineStr">
        <is>
          <t>35.892396</t>
        </is>
      </c>
      <c r="E273" s="12" t="inlineStr">
        <is>
          <t>32.217197</t>
        </is>
      </c>
      <c r="H273" s="20">
        <f>IFERROR(VLOOKUP(A273,[1]PIVOT!$B$4:$E$391,3,FALSE),"")</f>
        <v/>
      </c>
      <c r="I273" s="19">
        <f>H273/6000</f>
        <v/>
      </c>
      <c r="J273" s="19">
        <f>IFERROR(VLOOKUP(A273,[2]PIVOT!$A$4:$B$388,2,FALSE),"")</f>
        <v/>
      </c>
      <c r="K273" s="19">
        <f>J273/6000</f>
        <v/>
      </c>
      <c r="L273" s="21">
        <f>H273/J273-1</f>
        <v/>
      </c>
      <c r="M273" s="21">
        <f>VLOOKUP(A273,[1]PIVOT!$B$4:$C$400,2,FALSE)</f>
        <v/>
      </c>
      <c r="N273" s="19" t="n"/>
      <c r="Q273" s="20">
        <f>LEN(F273)</f>
        <v/>
      </c>
      <c r="W273" s="20">
        <f>LEN(G273)</f>
        <v/>
      </c>
    </row>
    <row r="274" ht="27" customHeight="1">
      <c r="A274" s="9" t="inlineStr">
        <is>
          <t>بئر مشتل فيصل رقم 3</t>
        </is>
      </c>
      <c r="B274" s="10" t="inlineStr">
        <is>
          <t>بئر مشتل فيصل (3)</t>
        </is>
      </c>
      <c r="C274" s="23" t="inlineStr">
        <is>
          <t>Mashtal Faysal Well 3</t>
        </is>
      </c>
      <c r="D274" s="12" t="inlineStr">
        <is>
          <t>35.888114</t>
        </is>
      </c>
      <c r="E274" s="12" t="inlineStr">
        <is>
          <t>32.215541</t>
        </is>
      </c>
      <c r="H274" s="20">
        <f>IFERROR(VLOOKUP(A274,[1]PIVOT!$B$4:$E$391,3,FALSE),"")</f>
        <v/>
      </c>
      <c r="I274" s="19">
        <f>H274/6000</f>
        <v/>
      </c>
      <c r="J274" s="19">
        <f>IFERROR(VLOOKUP(A274,[2]PIVOT!$A$4:$B$388,2,FALSE),"")</f>
        <v/>
      </c>
      <c r="K274" s="19">
        <f>J274/6000</f>
        <v/>
      </c>
      <c r="L274" s="21">
        <f>H274/J274-1</f>
        <v/>
      </c>
      <c r="M274" s="21">
        <f>VLOOKUP(A274,[1]PIVOT!$B$4:$C$400,2,FALSE)</f>
        <v/>
      </c>
      <c r="N274" s="19" t="n"/>
      <c r="Q274" s="20">
        <f>LEN(F274)</f>
        <v/>
      </c>
      <c r="W274" s="20">
        <f>LEN(G274)</f>
        <v/>
      </c>
    </row>
    <row r="275" ht="27" customHeight="1">
      <c r="A275" s="9" t="inlineStr">
        <is>
          <t>بئر مغير السرحان</t>
        </is>
      </c>
      <c r="B275" s="10" t="inlineStr">
        <is>
          <t>بئر مغير السرحان (1)</t>
        </is>
      </c>
      <c r="C275" s="24" t="e">
        <v>#N/A</v>
      </c>
      <c r="D275" s="12" t="inlineStr">
        <is>
          <t>36.212475</t>
        </is>
      </c>
      <c r="E275" s="12" t="inlineStr">
        <is>
          <t>32.461849</t>
        </is>
      </c>
      <c r="H275" s="20">
        <f>IFERROR(VLOOKUP(A275,[1]PIVOT!$B$4:$E$391,3,FALSE),"")</f>
        <v/>
      </c>
      <c r="I275" s="19">
        <f>H275/6000</f>
        <v/>
      </c>
      <c r="J275" s="19">
        <f>IFERROR(VLOOKUP(A275,[2]PIVOT!$A$4:$B$388,2,FALSE),"")</f>
        <v/>
      </c>
      <c r="K275" s="19">
        <f>J275/6000</f>
        <v/>
      </c>
      <c r="L275" s="21">
        <f>H275/J275-1</f>
        <v/>
      </c>
      <c r="M275" s="21">
        <f>VLOOKUP(A275,[1]PIVOT!$B$4:$C$400,2,FALSE)</f>
        <v/>
      </c>
      <c r="N275" s="19" t="n"/>
      <c r="Q275" s="20">
        <f>LEN(F275)</f>
        <v/>
      </c>
      <c r="W275" s="20">
        <f>LEN(G275)</f>
        <v/>
      </c>
    </row>
    <row r="276" ht="27" customHeight="1">
      <c r="A276" s="9" t="inlineStr">
        <is>
          <t>بئر مغير السرحان الجديد</t>
        </is>
      </c>
      <c r="B276" s="10" t="inlineStr">
        <is>
          <t>بئر مغير السرحان (3)</t>
        </is>
      </c>
      <c r="C276" s="24" t="e">
        <v>#N/A</v>
      </c>
      <c r="D276" s="12" t="inlineStr">
        <is>
          <t>36.197217</t>
        </is>
      </c>
      <c r="E276" s="12" t="inlineStr">
        <is>
          <t>32.488738</t>
        </is>
      </c>
      <c r="H276" s="20">
        <f>IFERROR(VLOOKUP(A276,[1]PIVOT!$B$4:$E$391,3,FALSE),"")</f>
        <v/>
      </c>
      <c r="I276" s="19">
        <f>H276/6000</f>
        <v/>
      </c>
      <c r="J276" s="19">
        <f>IFERROR(VLOOKUP(A276,[2]PIVOT!$A$4:$B$388,2,FALSE),"")</f>
        <v/>
      </c>
      <c r="K276" s="19">
        <f>J276/6000</f>
        <v/>
      </c>
      <c r="L276" s="21">
        <f>H276/J276-1</f>
        <v/>
      </c>
      <c r="M276" s="21">
        <f>VLOOKUP(A276,[1]PIVOT!$B$4:$C$400,2,FALSE)</f>
        <v/>
      </c>
      <c r="N276" s="19" t="n"/>
      <c r="Q276" s="20">
        <f>LEN(F276)</f>
        <v/>
      </c>
      <c r="W276" s="20">
        <f>LEN(G276)</f>
        <v/>
      </c>
    </row>
    <row r="277" ht="27" customHeight="1">
      <c r="A277" s="9" t="inlineStr">
        <is>
          <t>بئر مغير السرحان رق2</t>
        </is>
      </c>
      <c r="B277" s="10" t="inlineStr">
        <is>
          <t>بئر مغير السرحان (2)</t>
        </is>
      </c>
      <c r="C277" s="23" t="inlineStr">
        <is>
          <t>Muogaer sarhan Well 2</t>
        </is>
      </c>
      <c r="D277" s="11" t="inlineStr">
        <is>
          <t>36.2057</t>
        </is>
      </c>
      <c r="E277" s="11" t="inlineStr">
        <is>
          <t>32.4768</t>
        </is>
      </c>
      <c r="H277" s="20">
        <f>IFERROR(VLOOKUP(A277,[1]PIVOT!$B$4:$E$391,3,FALSE),"")</f>
        <v/>
      </c>
      <c r="I277" s="19">
        <f>H277/6000</f>
        <v/>
      </c>
      <c r="J277" s="19">
        <f>IFERROR(VLOOKUP(A277,[2]PIVOT!$A$4:$B$388,2,FALSE),"")</f>
        <v/>
      </c>
      <c r="K277" s="19">
        <f>J277/6000</f>
        <v/>
      </c>
      <c r="L277" s="21">
        <f>H277/J277-1</f>
        <v/>
      </c>
      <c r="M277" s="21">
        <f>VLOOKUP(A277,[1]PIVOT!$B$4:$C$400,2,FALSE)</f>
        <v/>
      </c>
      <c r="N277" s="19" t="n"/>
      <c r="Q277" s="20">
        <f>LEN(F277)</f>
        <v/>
      </c>
      <c r="W277" s="20">
        <f>LEN(G277)</f>
        <v/>
      </c>
    </row>
    <row r="278" ht="27" customHeight="1">
      <c r="A278" s="9" t="inlineStr">
        <is>
          <t>بئر ملكا/سلطة المياه</t>
        </is>
      </c>
      <c r="B278" s="10" t="inlineStr">
        <is>
          <t>محطة ضخ مياه ملكا</t>
        </is>
      </c>
      <c r="C278" s="23" t="inlineStr">
        <is>
          <t>Malka PS @ Well @ reservoir</t>
        </is>
      </c>
      <c r="D278" s="12" t="inlineStr">
        <is>
          <t>35.749019</t>
        </is>
      </c>
      <c r="E278" s="12" t="inlineStr">
        <is>
          <t>32.656152</t>
        </is>
      </c>
      <c r="H278" s="20">
        <f>IFERROR(VLOOKUP(A278,[1]PIVOT!$B$4:$E$391,3,FALSE),"")</f>
        <v/>
      </c>
      <c r="I278" s="19">
        <f>H278/6000</f>
        <v/>
      </c>
      <c r="J278" s="19">
        <f>IFERROR(VLOOKUP(A278,[2]PIVOT!$A$4:$B$388,2,FALSE),"")</f>
        <v/>
      </c>
      <c r="K278" s="19">
        <f>J278/6000</f>
        <v/>
      </c>
      <c r="L278" s="21">
        <f>H278/J278-1</f>
        <v/>
      </c>
      <c r="M278" s="21">
        <f>VLOOKUP(A278,[1]PIVOT!$B$4:$C$400,2,FALSE)</f>
        <v/>
      </c>
      <c r="N278" s="19" t="n"/>
      <c r="Q278" s="20">
        <f>LEN(F278)</f>
        <v/>
      </c>
      <c r="W278" s="20">
        <f>LEN(G278)</f>
        <v/>
      </c>
    </row>
    <row r="279" ht="27" customHeight="1">
      <c r="A279" s="9" t="inlineStr">
        <is>
          <t>بئر مندح/4</t>
        </is>
      </c>
      <c r="B279" s="10" t="inlineStr">
        <is>
          <t>بئر مندح (2)</t>
        </is>
      </c>
      <c r="C279" s="23" t="inlineStr">
        <is>
          <t>Mandah PS2 &amp; Well 2</t>
        </is>
      </c>
      <c r="D279" s="11" t="inlineStr">
        <is>
          <t>35.70195668</t>
        </is>
      </c>
      <c r="E279" s="11" t="inlineStr">
        <is>
          <t>32.54509715</t>
        </is>
      </c>
      <c r="H279" s="20">
        <f>IFERROR(VLOOKUP(A279,[1]PIVOT!$B$4:$E$391,3,FALSE),"")</f>
        <v/>
      </c>
      <c r="I279" s="19">
        <f>H279/6000</f>
        <v/>
      </c>
      <c r="J279" s="19">
        <f>IFERROR(VLOOKUP(A279,[2]PIVOT!$A$4:$B$388,2,FALSE),"")</f>
        <v/>
      </c>
      <c r="K279" s="19">
        <f>J279/6000</f>
        <v/>
      </c>
      <c r="L279" s="21">
        <f>H279/J279-1</f>
        <v/>
      </c>
      <c r="M279" s="21">
        <f>VLOOKUP(A279,[1]PIVOT!$B$4:$C$400,2,FALSE)</f>
        <v/>
      </c>
      <c r="N279" s="19" t="n"/>
      <c r="Q279" s="20">
        <f>LEN(F279)</f>
        <v/>
      </c>
      <c r="W279" s="20">
        <f>LEN(G279)</f>
        <v/>
      </c>
    </row>
    <row r="280" ht="27" customHeight="1">
      <c r="A280" s="9" t="inlineStr">
        <is>
          <t>بئر مندح/5</t>
        </is>
      </c>
      <c r="B280" s="10" t="inlineStr">
        <is>
          <t>بئر ومحطة ضخ مياه مندح (4)</t>
        </is>
      </c>
      <c r="C280" s="23" t="inlineStr">
        <is>
          <t>Mandah Well 4 &amp; Res.</t>
        </is>
      </c>
      <c r="D280" s="11" t="inlineStr">
        <is>
          <t>35.68041036</t>
        </is>
      </c>
      <c r="E280" s="11" t="inlineStr">
        <is>
          <t>32.55377724</t>
        </is>
      </c>
      <c r="H280" s="20">
        <f>IFERROR(VLOOKUP(A280,[1]PIVOT!$B$4:$E$391,3,FALSE),"")</f>
        <v/>
      </c>
      <c r="I280" s="19">
        <f>H280/6000</f>
        <v/>
      </c>
      <c r="J280" s="19">
        <f>IFERROR(VLOOKUP(A280,[2]PIVOT!$A$4:$B$388,2,FALSE),"")</f>
        <v/>
      </c>
      <c r="K280" s="19">
        <f>J280/6000</f>
        <v/>
      </c>
      <c r="L280" s="21">
        <f>H280/J280-1</f>
        <v/>
      </c>
      <c r="M280" s="21">
        <f>VLOOKUP(A280,[1]PIVOT!$B$4:$C$400,2,FALSE)</f>
        <v/>
      </c>
      <c r="N280" s="19" t="n"/>
      <c r="Q280" s="20">
        <f>LEN(F280)</f>
        <v/>
      </c>
      <c r="W280" s="20">
        <f>LEN(G280)</f>
        <v/>
      </c>
    </row>
    <row r="281" ht="27" customHeight="1">
      <c r="A281" s="9" t="inlineStr">
        <is>
          <t>بئر مندح/رقم/1</t>
        </is>
      </c>
      <c r="B281" s="10" t="inlineStr">
        <is>
          <t>بئر ومحطة ضخ مياه مندح (1)</t>
        </is>
      </c>
      <c r="C281" s="23" t="inlineStr">
        <is>
          <t>Mandah PS1 Well &amp; Res.</t>
        </is>
      </c>
      <c r="D281" s="12" t="inlineStr">
        <is>
          <t>35.693749</t>
        </is>
      </c>
      <c r="E281" s="12" t="inlineStr">
        <is>
          <t>32.547074</t>
        </is>
      </c>
      <c r="H281" s="20">
        <f>IFERROR(VLOOKUP(A281,[1]PIVOT!$B$4:$E$391,3,FALSE),"")</f>
        <v/>
      </c>
      <c r="I281" s="19">
        <f>H281/6000</f>
        <v/>
      </c>
      <c r="J281" s="19">
        <f>IFERROR(VLOOKUP(A281,[2]PIVOT!$A$4:$B$388,2,FALSE),"")</f>
        <v/>
      </c>
      <c r="K281" s="19">
        <f>J281/6000</f>
        <v/>
      </c>
      <c r="L281" s="21">
        <f>H281/J281-1</f>
        <v/>
      </c>
      <c r="M281" s="21">
        <f>VLOOKUP(A281,[1]PIVOT!$B$4:$C$400,2,FALSE)</f>
        <v/>
      </c>
      <c r="N281" s="19" t="n"/>
      <c r="Q281" s="20">
        <f>LEN(F281)</f>
        <v/>
      </c>
      <c r="W281" s="20">
        <f>LEN(G281)</f>
        <v/>
      </c>
    </row>
    <row r="282" ht="27" customHeight="1">
      <c r="A282" s="9" t="inlineStr">
        <is>
          <t>بئر مندح/سلطة المياه/3</t>
        </is>
      </c>
      <c r="B282" s="10" t="inlineStr">
        <is>
          <t>بئر مندح (3)</t>
        </is>
      </c>
      <c r="C282" s="24" t="e">
        <v>#N/A</v>
      </c>
      <c r="D282" s="12" t="inlineStr">
        <is>
          <t>35.681194</t>
        </is>
      </c>
      <c r="E282" s="12" t="inlineStr">
        <is>
          <t>32.545583</t>
        </is>
      </c>
      <c r="H282" s="20">
        <f>IFERROR(VLOOKUP(A282,[1]PIVOT!$B$4:$E$391,3,FALSE),"")</f>
        <v/>
      </c>
      <c r="I282" s="19">
        <f>H282/6000</f>
        <v/>
      </c>
      <c r="J282" s="19">
        <f>IFERROR(VLOOKUP(A282,[2]PIVOT!$A$4:$B$388,2,FALSE),"")</f>
        <v/>
      </c>
      <c r="K282" s="19">
        <f>J282/6000</f>
        <v/>
      </c>
      <c r="L282" s="21">
        <f>H282/J282-1</f>
        <v/>
      </c>
      <c r="M282" s="21">
        <f>VLOOKUP(A282,[1]PIVOT!$B$4:$C$400,2,FALSE)</f>
        <v/>
      </c>
      <c r="N282" s="19" t="n"/>
      <c r="Q282" s="20">
        <f>LEN(F282)</f>
        <v/>
      </c>
      <c r="W282" s="20">
        <f>LEN(G282)</f>
        <v/>
      </c>
    </row>
    <row r="283" ht="27" customHeight="1">
      <c r="A283" s="9" t="inlineStr">
        <is>
          <t>بئرالكرادو2</t>
        </is>
      </c>
      <c r="B283" s="10" t="inlineStr">
        <is>
          <t>بئر الكوريدور (2)</t>
        </is>
      </c>
      <c r="C283" s="23" t="inlineStr">
        <is>
          <t>Corodor 2</t>
        </is>
      </c>
      <c r="D283" s="11" t="inlineStr">
        <is>
          <t>36.5216336</t>
        </is>
      </c>
      <c r="E283" s="11" t="inlineStr">
        <is>
          <t>32.20224338</t>
        </is>
      </c>
      <c r="H283" s="20">
        <f>IFERROR(VLOOKUP(A283,[1]PIVOT!$B$4:$E$391,3,FALSE),"")</f>
        <v/>
      </c>
      <c r="I283" s="19">
        <f>H283/6000</f>
        <v/>
      </c>
      <c r="J283" s="19">
        <f>IFERROR(VLOOKUP(A283,[2]PIVOT!$A$4:$B$388,2,FALSE),"")</f>
        <v/>
      </c>
      <c r="K283" s="19">
        <f>J283/6000</f>
        <v/>
      </c>
      <c r="L283" s="21">
        <f>H283/J283-1</f>
        <v/>
      </c>
      <c r="M283" s="21">
        <f>VLOOKUP(A283,[1]PIVOT!$B$4:$C$400,2,FALSE)</f>
        <v/>
      </c>
      <c r="N283" s="19" t="n"/>
      <c r="Q283" s="20">
        <f>LEN(F283)</f>
        <v/>
      </c>
      <c r="W283" s="20">
        <f>LEN(G283)</f>
        <v/>
      </c>
    </row>
    <row r="284" ht="27" customHeight="1">
      <c r="A284" s="9" t="inlineStr">
        <is>
          <t>بئرالكرادور1</t>
        </is>
      </c>
      <c r="B284" s="10" t="inlineStr">
        <is>
          <t>بئر الكوريدور (1)</t>
        </is>
      </c>
      <c r="C284" s="23" t="inlineStr">
        <is>
          <t>Corodor 1</t>
        </is>
      </c>
      <c r="D284" s="11" t="inlineStr">
        <is>
          <t>36.53076701</t>
        </is>
      </c>
      <c r="E284" s="11" t="inlineStr">
        <is>
          <t>32.23686082</t>
        </is>
      </c>
      <c r="H284" s="20">
        <f>IFERROR(VLOOKUP(A284,[1]PIVOT!$B$4:$E$391,3,FALSE),"")</f>
        <v/>
      </c>
      <c r="I284" s="19">
        <f>H284/6000</f>
        <v/>
      </c>
      <c r="J284" s="19">
        <f>IFERROR(VLOOKUP(A284,[2]PIVOT!$A$4:$B$388,2,FALSE),"")</f>
        <v/>
      </c>
      <c r="K284" s="19">
        <f>J284/6000</f>
        <v/>
      </c>
      <c r="L284" s="21">
        <f>H284/J284-1</f>
        <v/>
      </c>
      <c r="M284" s="21">
        <f>VLOOKUP(A284,[1]PIVOT!$B$4:$C$400,2,FALSE)</f>
        <v/>
      </c>
      <c r="N284" s="19" t="n"/>
      <c r="Q284" s="20">
        <f>LEN(F284)</f>
        <v/>
      </c>
      <c r="W284" s="20">
        <f>LEN(G284)</f>
        <v/>
      </c>
    </row>
    <row r="285" ht="27" customHeight="1">
      <c r="A285" s="9" t="inlineStr">
        <is>
          <t>بئرالكردور17</t>
        </is>
      </c>
      <c r="B285" s="10" t="inlineStr">
        <is>
          <t>بئر الكوريدور (17)</t>
        </is>
      </c>
      <c r="C285" s="23" t="inlineStr">
        <is>
          <t>Corodor 17</t>
        </is>
      </c>
      <c r="D285" s="12" t="inlineStr">
        <is>
          <t>36.52897</t>
        </is>
      </c>
      <c r="E285" s="12" t="inlineStr">
        <is>
          <t>32.21838</t>
        </is>
      </c>
      <c r="H285" s="20">
        <f>IFERROR(VLOOKUP(A285,[1]PIVOT!$B$4:$E$391,3,FALSE),"")</f>
        <v/>
      </c>
      <c r="I285" s="19">
        <f>H285/6000</f>
        <v/>
      </c>
      <c r="J285" s="19">
        <f>IFERROR(VLOOKUP(A285,[2]PIVOT!$A$4:$B$388,2,FALSE),"")</f>
        <v/>
      </c>
      <c r="K285" s="19">
        <f>J285/6000</f>
        <v/>
      </c>
      <c r="L285" s="21">
        <f>H285/J285-1</f>
        <v/>
      </c>
      <c r="M285" s="21">
        <f>VLOOKUP(A285,[1]PIVOT!$B$4:$C$400,2,FALSE)</f>
        <v/>
      </c>
      <c r="N285" s="19" t="n"/>
      <c r="Q285" s="20">
        <f>LEN(F285)</f>
        <v/>
      </c>
      <c r="W285" s="20">
        <f>LEN(G285)</f>
        <v/>
      </c>
    </row>
    <row r="286" ht="27" customHeight="1">
      <c r="A286" s="9" t="inlineStr">
        <is>
          <t>بئرحوشا</t>
        </is>
      </c>
      <c r="B286" s="10" t="inlineStr">
        <is>
          <t>بئرحوشا</t>
        </is>
      </c>
      <c r="C286" s="23" t="inlineStr">
        <is>
          <t>Hosha Well</t>
        </is>
      </c>
      <c r="D286" s="12" t="inlineStr">
        <is>
          <t>36.118896</t>
        </is>
      </c>
      <c r="E286" s="12" t="inlineStr">
        <is>
          <t>32.486379</t>
        </is>
      </c>
      <c r="H286" s="20">
        <f>IFERROR(VLOOKUP(A286,[1]PIVOT!$B$4:$E$391,3,FALSE),"")</f>
        <v/>
      </c>
      <c r="I286" s="19">
        <f>H286/6000</f>
        <v/>
      </c>
      <c r="J286" s="19">
        <f>IFERROR(VLOOKUP(A286,[2]PIVOT!$A$4:$B$388,2,FALSE),"")</f>
        <v/>
      </c>
      <c r="K286" s="19">
        <f>J286/6000</f>
        <v/>
      </c>
      <c r="L286" s="21">
        <f>H286/J286-1</f>
        <v/>
      </c>
      <c r="M286" s="21">
        <f>VLOOKUP(A286,[1]PIVOT!$B$4:$C$400,2,FALSE)</f>
        <v/>
      </c>
      <c r="N286" s="19" t="n"/>
      <c r="Q286" s="20">
        <f>LEN(F286)</f>
        <v/>
      </c>
      <c r="W286" s="20">
        <f>LEN(G286)</f>
        <v/>
      </c>
    </row>
    <row r="287" ht="27" customHeight="1">
      <c r="A287" s="9" t="inlineStr">
        <is>
          <t>بئرصبحا وصبحية المراقبة</t>
        </is>
      </c>
      <c r="B287" s="10" t="inlineStr">
        <is>
          <t>بئر ومحطة ضخ مياه الفيصلية</t>
        </is>
      </c>
      <c r="C287" s="23" t="inlineStr">
        <is>
          <t>Al Faisaliyeh PS</t>
        </is>
      </c>
      <c r="D287" s="11" t="inlineStr">
        <is>
          <t>36.4929</t>
        </is>
      </c>
      <c r="E287" s="11" t="inlineStr">
        <is>
          <t>32.2949</t>
        </is>
      </c>
      <c r="H287" s="20">
        <f>IFERROR(VLOOKUP(A287,[1]PIVOT!$B$4:$E$391,3,FALSE),"")</f>
        <v/>
      </c>
      <c r="I287" s="19">
        <f>H287/6000</f>
        <v/>
      </c>
      <c r="J287" s="19">
        <f>IFERROR(VLOOKUP(A287,[2]PIVOT!$A$4:$B$388,2,FALSE),"")</f>
        <v/>
      </c>
      <c r="K287" s="19">
        <f>J287/6000</f>
        <v/>
      </c>
      <c r="L287" s="21">
        <f>H287/J287-1</f>
        <v/>
      </c>
      <c r="M287" s="21">
        <f>VLOOKUP(A287,[1]PIVOT!$B$4:$C$400,2,FALSE)</f>
        <v/>
      </c>
      <c r="N287" s="19" t="n"/>
      <c r="Q287" s="20">
        <f>LEN(F287)</f>
        <v/>
      </c>
      <c r="W287" s="20">
        <f>LEN(G287)</f>
        <v/>
      </c>
    </row>
    <row r="288" ht="27" customHeight="1">
      <c r="A288" s="9" t="inlineStr">
        <is>
          <t>بئرضبعان</t>
        </is>
      </c>
      <c r="B288" s="10" t="inlineStr">
        <is>
          <t>بئر ومحطة ضخ مياه ضبعان</t>
        </is>
      </c>
      <c r="C288" s="23" t="inlineStr">
        <is>
          <t>Daba`an DP5A PS</t>
        </is>
      </c>
      <c r="D288" s="11" t="inlineStr">
        <is>
          <t>36.20389411</t>
        </is>
      </c>
      <c r="E288" s="11" t="inlineStr">
        <is>
          <t>32.18487307</t>
        </is>
      </c>
      <c r="H288" s="20">
        <f>IFERROR(VLOOKUP(A288,[1]PIVOT!$B$4:$E$391,3,FALSE),"")</f>
        <v/>
      </c>
      <c r="I288" s="19">
        <f>H288/6000</f>
        <v/>
      </c>
      <c r="J288" s="19">
        <f>IFERROR(VLOOKUP(A288,[2]PIVOT!$A$4:$B$388,2,FALSE),"")</f>
        <v/>
      </c>
      <c r="K288" s="19">
        <f>J288/6000</f>
        <v/>
      </c>
      <c r="L288" s="21">
        <f>H288/J288-1</f>
        <v/>
      </c>
      <c r="M288" s="21">
        <f>VLOOKUP(A288,[1]PIVOT!$B$4:$C$400,2,FALSE)</f>
        <v/>
      </c>
      <c r="N288" s="19" t="n"/>
      <c r="Q288" s="20">
        <f>LEN(F288)</f>
        <v/>
      </c>
      <c r="W288" s="20">
        <f>LEN(G288)</f>
        <v/>
      </c>
    </row>
    <row r="289" ht="27" customHeight="1">
      <c r="A289" s="9" t="inlineStr">
        <is>
          <t>تفريعة محطة ضخ الزعتري</t>
        </is>
      </c>
      <c r="B289" s="10" t="inlineStr">
        <is>
          <t>محطة ضخ مياه الزعتري- الغرب</t>
        </is>
      </c>
      <c r="C289" s="23" t="inlineStr">
        <is>
          <t>Al Za'tary PS</t>
        </is>
      </c>
      <c r="D289" s="12" t="inlineStr">
        <is>
          <t>36.30868288</t>
        </is>
      </c>
      <c r="E289" s="12" t="inlineStr">
        <is>
          <t>32.31789233</t>
        </is>
      </c>
      <c r="F289" s="20" t="n"/>
      <c r="G289" s="20" t="n"/>
      <c r="H289" s="20">
        <f>IFERROR(VLOOKUP(A289,[1]PIVOT!$B$4:$E$391,3,FALSE),"")</f>
        <v/>
      </c>
      <c r="I289" s="19">
        <f>H289/6000</f>
        <v/>
      </c>
      <c r="J289" s="19">
        <f>IFERROR(VLOOKUP(A289,[2]PIVOT!$A$4:$B$388,2,FALSE),"")</f>
        <v/>
      </c>
      <c r="K289" s="19">
        <f>J289/6000</f>
        <v/>
      </c>
      <c r="L289" s="21">
        <f>H289/J289-1</f>
        <v/>
      </c>
      <c r="M289" s="21">
        <f>VLOOKUP(A289,[1]PIVOT!$B$4:$C$400,2,FALSE)</f>
        <v/>
      </c>
      <c r="N289" s="19" t="n"/>
      <c r="Q289" s="20">
        <f>LEN(F289)</f>
        <v/>
      </c>
      <c r="W289" s="20">
        <f>LEN(G289)</f>
        <v/>
      </c>
    </row>
    <row r="290" ht="27" customHeight="1">
      <c r="A290" s="9" t="inlineStr">
        <is>
          <t>خزان جبه</t>
        </is>
      </c>
      <c r="B290" s="10" t="inlineStr">
        <is>
          <t>خزان مياه جبه</t>
        </is>
      </c>
      <c r="C290" s="23" t="inlineStr">
        <is>
          <t>JUBA R</t>
        </is>
      </c>
      <c r="D290" s="11" t="inlineStr">
        <is>
          <t>35.88936845</t>
        </is>
      </c>
      <c r="E290" s="11" t="inlineStr">
        <is>
          <t>32.17475419</t>
        </is>
      </c>
      <c r="H290" s="20">
        <f>IFERROR(VLOOKUP(A290,[1]PIVOT!$B$4:$E$391,3,FALSE),"")</f>
        <v/>
      </c>
      <c r="I290" s="19">
        <f>H290/6000</f>
        <v/>
      </c>
      <c r="J290" s="19">
        <f>IFERROR(VLOOKUP(A290,[2]PIVOT!$A$4:$B$388,2,FALSE),"")</f>
        <v/>
      </c>
      <c r="K290" s="19">
        <f>J290/6000</f>
        <v/>
      </c>
      <c r="L290" s="21">
        <f>H290/J290-1</f>
        <v/>
      </c>
      <c r="M290" s="21">
        <f>VLOOKUP(A290,[1]PIVOT!$B$4:$C$400,2,FALSE)</f>
        <v/>
      </c>
      <c r="N290" s="19" t="n"/>
      <c r="Q290" s="20">
        <f>LEN(F290)</f>
        <v/>
      </c>
      <c r="W290" s="20">
        <f>LEN(G290)</f>
        <v/>
      </c>
    </row>
    <row r="291" ht="27" customHeight="1">
      <c r="A291" s="9" t="inlineStr">
        <is>
          <t>خزان راجب</t>
        </is>
      </c>
      <c r="B291" s="10" t="inlineStr">
        <is>
          <t>خزان مياه راجب</t>
        </is>
      </c>
      <c r="C291" s="23" t="inlineStr">
        <is>
          <t>Rajib R</t>
        </is>
      </c>
      <c r="D291" s="11" t="inlineStr">
        <is>
          <t>35.6948</t>
        </is>
      </c>
      <c r="E291" s="11" t="inlineStr">
        <is>
          <t>32.2324</t>
        </is>
      </c>
      <c r="H291" s="20">
        <f>IFERROR(VLOOKUP(A291,[1]PIVOT!$B$4:$E$391,3,FALSE),"")</f>
        <v/>
      </c>
      <c r="I291" s="19">
        <f>H291/6000</f>
        <v/>
      </c>
      <c r="J291" s="19">
        <f>IFERROR(VLOOKUP(A291,[2]PIVOT!$A$4:$B$388,2,FALSE),"")</f>
        <v/>
      </c>
      <c r="K291" s="19">
        <f>J291/6000</f>
        <v/>
      </c>
      <c r="L291" s="21">
        <f>H291/J291-1</f>
        <v/>
      </c>
      <c r="M291" s="21">
        <f>VLOOKUP(A291,[1]PIVOT!$B$4:$C$400,2,FALSE)</f>
        <v/>
      </c>
      <c r="N291" s="19" t="n"/>
      <c r="Q291" s="20">
        <f>LEN(F291)</f>
        <v/>
      </c>
      <c r="W291" s="20">
        <f>LEN(G291)</f>
        <v/>
      </c>
    </row>
    <row r="292" ht="27" customHeight="1">
      <c r="A292" s="9" t="inlineStr">
        <is>
          <t>خزان راس منيف</t>
        </is>
      </c>
      <c r="B292" s="10" t="inlineStr">
        <is>
          <t>خزان مياه راس منيف</t>
        </is>
      </c>
      <c r="C292" s="30" t="inlineStr">
        <is>
          <t>Ras Muneef R New , Ras Muneef R Old</t>
        </is>
      </c>
      <c r="D292" s="11" t="inlineStr">
        <is>
          <t>35.811409</t>
        </is>
      </c>
      <c r="E292" s="11" t="inlineStr">
        <is>
          <t>32.37978321</t>
        </is>
      </c>
      <c r="H292" s="20">
        <f>IFERROR(VLOOKUP(A292,[1]PIVOT!$B$4:$E$391,3,FALSE),"")</f>
        <v/>
      </c>
      <c r="I292" s="19">
        <f>H292/6000</f>
        <v/>
      </c>
      <c r="J292" s="19">
        <f>IFERROR(VLOOKUP(A292,[2]PIVOT!$A$4:$B$388,2,FALSE),"")</f>
        <v/>
      </c>
      <c r="K292" s="19">
        <f>J292/6000</f>
        <v/>
      </c>
      <c r="L292" s="21">
        <f>H292/J292-1</f>
        <v/>
      </c>
      <c r="M292" s="21">
        <f>VLOOKUP(A292,[1]PIVOT!$B$4:$C$400,2,FALSE)</f>
        <v/>
      </c>
      <c r="N292" s="19" t="n"/>
      <c r="Q292" s="20">
        <f>LEN(F292)</f>
        <v/>
      </c>
      <c r="W292" s="20">
        <f>LEN(G292)</f>
        <v/>
      </c>
    </row>
    <row r="293" ht="27" customHeight="1">
      <c r="A293" s="9" t="inlineStr">
        <is>
          <t>خزان مياه  بلعما</t>
        </is>
      </c>
      <c r="B293" s="10" t="inlineStr">
        <is>
          <t>خزان ومحطة ضخ مياه بلعما</t>
        </is>
      </c>
      <c r="C293" s="23" t="inlineStr">
        <is>
          <t>Balaama R</t>
        </is>
      </c>
      <c r="D293" s="11" t="inlineStr">
        <is>
          <t>36.0824</t>
        </is>
      </c>
      <c r="E293" s="11" t="inlineStr">
        <is>
          <t>32.2407</t>
        </is>
      </c>
      <c r="H293" s="20">
        <f>IFERROR(VLOOKUP(A293,[1]PIVOT!$B$4:$E$391,3,FALSE),"")</f>
        <v/>
      </c>
      <c r="I293" s="19">
        <f>H293/6000</f>
        <v/>
      </c>
      <c r="J293" s="19">
        <f>IFERROR(VLOOKUP(A293,[2]PIVOT!$A$4:$B$388,2,FALSE),"")</f>
        <v/>
      </c>
      <c r="K293" s="19">
        <f>J293/6000</f>
        <v/>
      </c>
      <c r="L293" s="21">
        <f>H293/J293-1</f>
        <v/>
      </c>
      <c r="M293" s="21">
        <f>VLOOKUP(A293,[1]PIVOT!$B$4:$C$400,2,FALSE)</f>
        <v/>
      </c>
      <c r="N293" s="19" t="n"/>
      <c r="Q293" s="20">
        <f>LEN(F293)</f>
        <v/>
      </c>
      <c r="W293" s="20">
        <f>LEN(G293)</f>
        <v/>
      </c>
    </row>
    <row r="294" ht="27" customHeight="1">
      <c r="A294" s="9" t="inlineStr">
        <is>
          <t>خزان مياه الجبل الاخضر</t>
        </is>
      </c>
      <c r="B294" s="10" t="inlineStr">
        <is>
          <t>خزان ومحطة ضخ مياه الجبل الأخضر- اشتراك (1)</t>
        </is>
      </c>
      <c r="C294" s="30" t="inlineStr">
        <is>
          <t>Jerash Reservoir (Small) , Jerash R (Big)</t>
        </is>
      </c>
      <c r="D294" s="11" t="inlineStr">
        <is>
          <t>35.906</t>
        </is>
      </c>
      <c r="E294" s="11" t="inlineStr">
        <is>
          <t>32.2827</t>
        </is>
      </c>
      <c r="H294" s="20">
        <f>IFERROR(VLOOKUP(A294,[1]PIVOT!$B$4:$E$391,3,FALSE),"")</f>
        <v/>
      </c>
      <c r="I294" s="19">
        <f>H294/6000</f>
        <v/>
      </c>
      <c r="J294" s="19">
        <f>IFERROR(VLOOKUP(A294,[2]PIVOT!$A$4:$B$388,2,FALSE),"")</f>
        <v/>
      </c>
      <c r="K294" s="19">
        <f>J294/6000</f>
        <v/>
      </c>
      <c r="L294" s="21">
        <f>H294/J294-1</f>
        <v/>
      </c>
      <c r="M294" s="21">
        <f>VLOOKUP(A294,[1]PIVOT!$B$4:$C$400,2,FALSE)</f>
        <v/>
      </c>
      <c r="N294" s="19" t="n"/>
      <c r="Q294" s="20">
        <f>LEN(F294)</f>
        <v/>
      </c>
      <c r="W294" s="20">
        <f>LEN(G294)</f>
        <v/>
      </c>
    </row>
    <row r="295" ht="27" customHeight="1">
      <c r="A295" s="9" t="inlineStr">
        <is>
          <t>خزان مياه بليلا</t>
        </is>
      </c>
      <c r="B295" s="10" t="inlineStr">
        <is>
          <t>خزان مياه بليلا</t>
        </is>
      </c>
      <c r="C295" s="23" t="inlineStr">
        <is>
          <t>Balela R</t>
        </is>
      </c>
      <c r="D295" s="11" t="inlineStr">
        <is>
          <t>35.9371</t>
        </is>
      </c>
      <c r="E295" s="11" t="inlineStr">
        <is>
          <t>32.3876</t>
        </is>
      </c>
      <c r="H295" s="20">
        <f>IFERROR(VLOOKUP(A295,[1]PIVOT!$B$4:$E$391,3,FALSE),"")</f>
        <v/>
      </c>
      <c r="I295" s="19">
        <f>H295/6000</f>
        <v/>
      </c>
      <c r="J295" s="19">
        <f>IFERROR(VLOOKUP(A295,[2]PIVOT!$A$4:$B$388,2,FALSE),"")</f>
        <v/>
      </c>
      <c r="K295" s="19">
        <f>J295/6000</f>
        <v/>
      </c>
      <c r="L295" s="21">
        <f>H295/J295-1</f>
        <v/>
      </c>
      <c r="M295" s="21">
        <f>VLOOKUP(A295,[1]PIVOT!$B$4:$C$400,2,FALSE)</f>
        <v/>
      </c>
      <c r="N295" s="19" t="n"/>
      <c r="Q295" s="20">
        <f>LEN(F295)</f>
        <v/>
      </c>
      <c r="W295" s="20">
        <f>LEN(G295)</f>
        <v/>
      </c>
    </row>
    <row r="296" ht="27" customHeight="1">
      <c r="A296" s="9" t="inlineStr">
        <is>
          <t>خزان مياه بئر العاقب</t>
        </is>
      </c>
      <c r="B296" s="10" t="inlineStr">
        <is>
          <t>خزان مياه الزمله</t>
        </is>
      </c>
      <c r="C296" s="24" t="e">
        <v>#N/A</v>
      </c>
      <c r="D296" s="11" t="inlineStr">
        <is>
          <t>36.5084</t>
        </is>
      </c>
      <c r="E296" s="11" t="inlineStr">
        <is>
          <t>32.2513</t>
        </is>
      </c>
      <c r="H296" s="20">
        <f>IFERROR(VLOOKUP(A296,[1]PIVOT!$B$4:$E$391,3,FALSE),"")</f>
        <v/>
      </c>
      <c r="I296" s="19">
        <f>H296/6000</f>
        <v/>
      </c>
      <c r="J296" s="19">
        <f>IFERROR(VLOOKUP(A296,[2]PIVOT!$A$4:$B$388,2,FALSE),"")</f>
        <v/>
      </c>
      <c r="K296" s="19">
        <f>J296/6000</f>
        <v/>
      </c>
      <c r="L296" s="21">
        <f>H296/J296-1</f>
        <v/>
      </c>
      <c r="M296" s="21">
        <f>VLOOKUP(A296,[1]PIVOT!$B$4:$C$400,2,FALSE)</f>
        <v/>
      </c>
      <c r="N296" s="19" t="n"/>
      <c r="Q296" s="20">
        <f>LEN(F296)</f>
        <v/>
      </c>
      <c r="W296" s="20">
        <f>LEN(G296)</f>
        <v/>
      </c>
    </row>
    <row r="297" ht="27" customHeight="1">
      <c r="A297" s="9" t="inlineStr">
        <is>
          <t>خزان مياه عجلون</t>
        </is>
      </c>
      <c r="B297" s="10" t="inlineStr">
        <is>
          <t>خزان مياه عجلون</t>
        </is>
      </c>
      <c r="C297" s="23" t="inlineStr">
        <is>
          <t>Ajlun Reservoir</t>
        </is>
      </c>
      <c r="D297" s="12" t="inlineStr">
        <is>
          <t>35.736854</t>
        </is>
      </c>
      <c r="E297" s="12" t="inlineStr">
        <is>
          <t>32.332933</t>
        </is>
      </c>
      <c r="H297" s="20">
        <f>IFERROR(VLOOKUP(A297,[1]PIVOT!$B$4:$E$391,3,FALSE),"")</f>
        <v/>
      </c>
      <c r="I297" s="19">
        <f>H297/6000</f>
        <v/>
      </c>
      <c r="J297" s="19">
        <f>IFERROR(VLOOKUP(A297,[2]PIVOT!$A$4:$B$388,2,FALSE),"")</f>
        <v/>
      </c>
      <c r="K297" s="19">
        <f>J297/6000</f>
        <v/>
      </c>
      <c r="L297" s="21">
        <f>H297/J297-1</f>
        <v/>
      </c>
      <c r="M297" s="21">
        <f>VLOOKUP(A297,[1]PIVOT!$B$4:$C$400,2,FALSE)</f>
        <v/>
      </c>
      <c r="N297" s="19" t="n"/>
      <c r="Q297" s="20">
        <f>LEN(F297)</f>
        <v/>
      </c>
      <c r="W297" s="20">
        <f>LEN(G297)</f>
        <v/>
      </c>
    </row>
    <row r="298" ht="27" customHeight="1">
      <c r="A298" s="9" t="inlineStr">
        <is>
          <t>خزان مياه عنجره</t>
        </is>
      </c>
      <c r="B298" s="10" t="inlineStr">
        <is>
          <t>خزان مياه عنجره</t>
        </is>
      </c>
      <c r="C298" s="23" t="inlineStr">
        <is>
          <t>Anjara R</t>
        </is>
      </c>
      <c r="D298" s="12" t="inlineStr">
        <is>
          <t>35.760916</t>
        </is>
      </c>
      <c r="E298" s="12" t="inlineStr">
        <is>
          <t>32.3031</t>
        </is>
      </c>
      <c r="H298" s="20">
        <f>IFERROR(VLOOKUP(A298,[1]PIVOT!$B$4:$E$391,3,FALSE),"")</f>
        <v/>
      </c>
      <c r="I298" s="19">
        <f>H298/6000</f>
        <v/>
      </c>
      <c r="J298" s="19">
        <f>IFERROR(VLOOKUP(A298,[2]PIVOT!$A$4:$B$388,2,FALSE),"")</f>
        <v/>
      </c>
      <c r="K298" s="19">
        <f>J298/6000</f>
        <v/>
      </c>
      <c r="L298" s="21">
        <f>H298/J298-1</f>
        <v/>
      </c>
      <c r="M298" s="21">
        <f>VLOOKUP(A298,[1]PIVOT!$B$4:$C$400,2,FALSE)</f>
        <v/>
      </c>
      <c r="N298" s="19" t="n"/>
      <c r="Q298" s="20">
        <f>LEN(F298)</f>
        <v/>
      </c>
      <c r="W298" s="20">
        <f>LEN(G298)</f>
        <v/>
      </c>
    </row>
    <row r="299" ht="27" customHeight="1">
      <c r="A299" s="9" t="inlineStr">
        <is>
          <t>خزان مياه كفرنجة</t>
        </is>
      </c>
      <c r="B299" s="10" t="inlineStr">
        <is>
          <t>خزان مياه كفرنجة العلوي</t>
        </is>
      </c>
      <c r="C299" s="23" t="inlineStr">
        <is>
          <t>Kufranja Upper R</t>
        </is>
      </c>
      <c r="D299" s="11" t="inlineStr">
        <is>
          <t>35.69884876</t>
        </is>
      </c>
      <c r="E299" s="11" t="inlineStr">
        <is>
          <t>32.29290989</t>
        </is>
      </c>
      <c r="H299" s="20">
        <f>IFERROR(VLOOKUP(A299,[1]PIVOT!$B$4:$E$391,3,FALSE),"")</f>
        <v/>
      </c>
      <c r="I299" s="19">
        <f>H299/6000</f>
        <v/>
      </c>
      <c r="J299" s="19">
        <f>IFERROR(VLOOKUP(A299,[2]PIVOT!$A$4:$B$388,2,FALSE),"")</f>
        <v/>
      </c>
      <c r="K299" s="19">
        <f>J299/6000</f>
        <v/>
      </c>
      <c r="L299" s="21">
        <f>H299/J299-1</f>
        <v/>
      </c>
      <c r="M299" s="21">
        <f>VLOOKUP(A299,[1]PIVOT!$B$4:$C$400,2,FALSE)</f>
        <v/>
      </c>
      <c r="N299" s="19" t="n"/>
      <c r="Q299" s="20">
        <f>LEN(F299)</f>
        <v/>
      </c>
      <c r="W299" s="20">
        <f>LEN(G299)</f>
        <v/>
      </c>
    </row>
    <row r="300" ht="27" customHeight="1">
      <c r="A300" s="9" t="inlineStr">
        <is>
          <t>خزان مياه كفرنجة السفلي</t>
        </is>
      </c>
      <c r="B300" s="10" t="inlineStr">
        <is>
          <t>خزان مياه كفرنجة السفلي</t>
        </is>
      </c>
      <c r="C300" s="24" t="e">
        <v>#N/A</v>
      </c>
      <c r="D300" s="11" t="inlineStr">
        <is>
          <t>35.7503186</t>
        </is>
      </c>
      <c r="E300" s="11" t="inlineStr">
        <is>
          <t>32.32872281</t>
        </is>
      </c>
      <c r="H300" s="20">
        <f>IFERROR(VLOOKUP(A300,[1]PIVOT!$B$4:$E$391,3,FALSE),"")</f>
        <v/>
      </c>
      <c r="I300" s="19">
        <f>H300/6000</f>
        <v/>
      </c>
      <c r="J300" s="19">
        <f>IFERROR(VLOOKUP(A300,[2]PIVOT!$A$4:$B$388,2,FALSE),"")</f>
        <v/>
      </c>
      <c r="K300" s="19">
        <f>J300/6000</f>
        <v/>
      </c>
      <c r="L300" s="21">
        <f>H300/J300-1</f>
        <v/>
      </c>
      <c r="M300" s="21">
        <f>VLOOKUP(A300,[1]PIVOT!$B$4:$C$400,2,FALSE)</f>
        <v/>
      </c>
      <c r="N300" s="19" t="n"/>
      <c r="Q300" s="20">
        <f>LEN(F300)</f>
        <v/>
      </c>
      <c r="W300" s="20">
        <f>LEN(G300)</f>
        <v/>
      </c>
    </row>
    <row r="301" ht="27" customHeight="1">
      <c r="A301" s="9" t="inlineStr">
        <is>
          <t>خزان مياه مخيم جرش</t>
        </is>
      </c>
      <c r="B301" s="10" t="inlineStr">
        <is>
          <t>خزان مياه مخيم جرش</t>
        </is>
      </c>
      <c r="C301" s="23" t="inlineStr">
        <is>
          <t>New Jerash Refugee Camp Reservoir</t>
        </is>
      </c>
      <c r="D301" s="12" t="inlineStr">
        <is>
          <t>35.853596</t>
        </is>
      </c>
      <c r="E301" s="12" t="inlineStr">
        <is>
          <t>32.267328</t>
        </is>
      </c>
      <c r="H301" s="20">
        <f>IFERROR(VLOOKUP(A301,[1]PIVOT!$B$4:$E$391,3,FALSE),"")</f>
        <v/>
      </c>
      <c r="I301" s="19">
        <f>H301/6000</f>
        <v/>
      </c>
      <c r="J301" s="19">
        <f>IFERROR(VLOOKUP(A301,[2]PIVOT!$A$4:$B$388,2,FALSE),"")</f>
        <v/>
      </c>
      <c r="K301" s="19">
        <f>J301/6000</f>
        <v/>
      </c>
      <c r="L301" s="21">
        <f>H301/J301-1</f>
        <v/>
      </c>
      <c r="M301" s="21">
        <f>VLOOKUP(A301,[1]PIVOT!$B$4:$C$400,2,FALSE)</f>
        <v/>
      </c>
      <c r="N301" s="19" t="n"/>
      <c r="Q301" s="20">
        <f>LEN(F301)</f>
        <v/>
      </c>
      <c r="W301" s="20">
        <f>LEN(G301)</f>
        <v/>
      </c>
    </row>
    <row r="302" ht="27" customHeight="1">
      <c r="A302" s="9" t="inlineStr">
        <is>
          <t>خزان مياه مخيم سوف</t>
        </is>
      </c>
      <c r="B302" s="10" t="inlineStr">
        <is>
          <t>خزان مياه مخيم سوف</t>
        </is>
      </c>
      <c r="C302" s="23" t="inlineStr">
        <is>
          <t>Souf Refugee R</t>
        </is>
      </c>
      <c r="D302" s="12" t="inlineStr">
        <is>
          <t>35.885051</t>
        </is>
      </c>
      <c r="E302" s="12" t="inlineStr">
        <is>
          <t>32.314357</t>
        </is>
      </c>
      <c r="H302" s="20">
        <f>IFERROR(VLOOKUP(A302,[1]PIVOT!$B$4:$E$391,3,FALSE),"")</f>
        <v/>
      </c>
      <c r="I302" s="19">
        <f>H302/6000</f>
        <v/>
      </c>
      <c r="J302" s="19">
        <f>IFERROR(VLOOKUP(A302,[2]PIVOT!$A$4:$B$388,2,FALSE),"")</f>
        <v/>
      </c>
      <c r="K302" s="19">
        <f>J302/6000</f>
        <v/>
      </c>
      <c r="L302" s="21">
        <f>H302/J302-1</f>
        <v/>
      </c>
      <c r="M302" s="21">
        <f>VLOOKUP(A302,[1]PIVOT!$B$4:$C$400,2,FALSE)</f>
        <v/>
      </c>
      <c r="N302" s="19" t="n"/>
      <c r="Q302" s="20">
        <f>LEN(F302)</f>
        <v/>
      </c>
      <c r="W302" s="20">
        <f>LEN(G302)</f>
        <v/>
      </c>
    </row>
    <row r="303" ht="27" customHeight="1">
      <c r="A303" s="9" t="inlineStr">
        <is>
          <t>دعم خدمات الصرف الصحي</t>
        </is>
      </c>
      <c r="B303" s="10" t="inlineStr">
        <is>
          <t>محطة رفع صرف صحي بيت راس</t>
        </is>
      </c>
      <c r="C303" s="23" t="inlineStr">
        <is>
          <t>Bait Ras LS</t>
        </is>
      </c>
      <c r="D303" s="11" t="inlineStr">
        <is>
          <t>35.8727</t>
        </is>
      </c>
      <c r="E303" s="11" t="inlineStr">
        <is>
          <t>32.5947</t>
        </is>
      </c>
      <c r="H303" s="20">
        <f>IFERROR(VLOOKUP(A303,[1]PIVOT!$B$4:$E$391,3,FALSE),"")</f>
        <v/>
      </c>
      <c r="I303" s="19">
        <f>H303/6000</f>
        <v/>
      </c>
      <c r="J303" s="19">
        <f>IFERROR(VLOOKUP(A303,[2]PIVOT!$A$4:$B$388,2,FALSE),"")</f>
        <v/>
      </c>
      <c r="K303" s="19">
        <f>J303/6000</f>
        <v/>
      </c>
      <c r="L303" s="21">
        <f>H303/J303-1</f>
        <v/>
      </c>
      <c r="M303" s="21">
        <f>VLOOKUP(A303,[1]PIVOT!$B$4:$C$400,2,FALSE)</f>
        <v/>
      </c>
      <c r="N303" s="19" t="n"/>
      <c r="Q303" s="20">
        <f>LEN(F303)</f>
        <v/>
      </c>
      <c r="W303" s="20">
        <f>LEN(G303)</f>
        <v/>
      </c>
    </row>
    <row r="304" ht="27" customHeight="1">
      <c r="A304" s="9" t="inlineStr">
        <is>
          <t>سلطة المياة بئرام قنطرة</t>
        </is>
      </c>
      <c r="B304" s="10" t="inlineStr">
        <is>
          <t>بئر ام القنطرة (2)</t>
        </is>
      </c>
      <c r="C304" s="23" t="inlineStr">
        <is>
          <t>Um Qantara 2 Well</t>
        </is>
      </c>
      <c r="D304" s="11" t="inlineStr">
        <is>
          <t>35.92973019</t>
        </is>
      </c>
      <c r="E304" s="11" t="inlineStr">
        <is>
          <t>32.27449344</t>
        </is>
      </c>
      <c r="H304" s="20">
        <f>IFERROR(VLOOKUP(A304,[1]PIVOT!$B$4:$E$391,3,FALSE),"")</f>
        <v/>
      </c>
      <c r="I304" s="19">
        <f>H304/6000</f>
        <v/>
      </c>
      <c r="J304" s="19">
        <f>IFERROR(VLOOKUP(A304,[2]PIVOT!$A$4:$B$388,2,FALSE),"")</f>
        <v/>
      </c>
      <c r="K304" s="19">
        <f>J304/6000</f>
        <v/>
      </c>
      <c r="L304" s="21">
        <f>H304/J304-1</f>
        <v/>
      </c>
      <c r="M304" s="21">
        <f>VLOOKUP(A304,[1]PIVOT!$B$4:$C$400,2,FALSE)</f>
        <v/>
      </c>
      <c r="N304" s="19" t="n"/>
      <c r="Q304" s="20">
        <f>LEN(F304)</f>
        <v/>
      </c>
      <c r="W304" s="20">
        <f>LEN(G304)</f>
        <v/>
      </c>
    </row>
    <row r="305" ht="27" customHeight="1">
      <c r="A305" s="9" t="inlineStr">
        <is>
          <t>سلطة المياة/ بئر رقم 3</t>
        </is>
      </c>
      <c r="B305" s="10" t="inlineStr">
        <is>
          <t>بئر الرياشي (3)</t>
        </is>
      </c>
      <c r="C305" s="23" t="inlineStr">
        <is>
          <t>Rayashi  Well 3</t>
        </is>
      </c>
      <c r="D305" s="12" t="inlineStr">
        <is>
          <t>35.933017</t>
        </is>
      </c>
      <c r="E305" s="12" t="inlineStr">
        <is>
          <t>32.253001</t>
        </is>
      </c>
      <c r="H305" s="20">
        <f>IFERROR(VLOOKUP(A305,[1]PIVOT!$B$4:$E$391,3,FALSE),"")</f>
        <v/>
      </c>
      <c r="I305" s="19">
        <f>H305/6000</f>
        <v/>
      </c>
      <c r="J305" s="19">
        <f>IFERROR(VLOOKUP(A305,[2]PIVOT!$A$4:$B$388,2,FALSE),"")</f>
        <v/>
      </c>
      <c r="K305" s="19">
        <f>J305/6000</f>
        <v/>
      </c>
      <c r="L305" s="21">
        <f>H305/J305-1</f>
        <v/>
      </c>
      <c r="M305" s="21">
        <f>VLOOKUP(A305,[1]PIVOT!$B$4:$C$400,2,FALSE)</f>
        <v/>
      </c>
      <c r="N305" s="19" t="n"/>
      <c r="Q305" s="20">
        <f>LEN(F305)</f>
        <v/>
      </c>
      <c r="W305" s="20">
        <f>LEN(G305)</f>
        <v/>
      </c>
    </row>
    <row r="306" ht="27" customHeight="1">
      <c r="A306" s="9" t="inlineStr">
        <is>
          <t>سلطة المياه /سكن موظف</t>
        </is>
      </c>
      <c r="B306" s="10" t="inlineStr">
        <is>
          <t>شركة مياه اليرموك- اسكان الموظفين- اشتراك (2)</t>
        </is>
      </c>
      <c r="C306" s="24" t="e">
        <v>#N/A</v>
      </c>
      <c r="D306" s="11" t="inlineStr">
        <is>
          <t>35.8391</t>
        </is>
      </c>
      <c r="E306" s="11" t="inlineStr">
        <is>
          <t>32.5307</t>
        </is>
      </c>
      <c r="H306" s="20">
        <f>IFERROR(VLOOKUP(A306,[1]PIVOT!$B$4:$E$391,3,FALSE),"")</f>
        <v/>
      </c>
      <c r="I306" s="19">
        <f>H306/6000</f>
        <v/>
      </c>
      <c r="J306" s="19">
        <f>IFERROR(VLOOKUP(A306,[2]PIVOT!$A$4:$B$388,2,FALSE),"")</f>
        <v/>
      </c>
      <c r="K306" s="19">
        <f>J306/6000</f>
        <v/>
      </c>
      <c r="L306" s="21">
        <f>H306/J306-1</f>
        <v/>
      </c>
      <c r="M306" s="21">
        <f>VLOOKUP(A306,[1]PIVOT!$B$4:$C$400,2,FALSE)</f>
        <v/>
      </c>
      <c r="N306" s="19" t="n"/>
      <c r="Q306" s="20">
        <f>LEN(F306)</f>
        <v/>
      </c>
      <c r="W306" s="20">
        <f>LEN(G306)</f>
        <v/>
      </c>
    </row>
    <row r="307" ht="27" customHeight="1">
      <c r="A307" s="9" t="inlineStr">
        <is>
          <t>سلطة المياه وبئر عيون /5</t>
        </is>
      </c>
      <c r="B307" s="10" t="inlineStr">
        <is>
          <t>بئر عيون الحمام (5)</t>
        </is>
      </c>
      <c r="C307" s="23" t="inlineStr">
        <is>
          <t>Oyoon Hammam 5</t>
        </is>
      </c>
      <c r="D307" s="11" t="inlineStr">
        <is>
          <t>35.71156379</t>
        </is>
      </c>
      <c r="E307" s="11" t="inlineStr">
        <is>
          <t>32.50291963</t>
        </is>
      </c>
      <c r="H307" s="20">
        <f>IFERROR(VLOOKUP(A307,[1]PIVOT!$B$4:$E$391,3,FALSE),"")</f>
        <v/>
      </c>
      <c r="I307" s="19">
        <f>H307/6000</f>
        <v/>
      </c>
      <c r="J307" s="19">
        <f>IFERROR(VLOOKUP(A307,[2]PIVOT!$A$4:$B$388,2,FALSE),"")</f>
        <v/>
      </c>
      <c r="K307" s="19">
        <f>J307/6000</f>
        <v/>
      </c>
      <c r="L307" s="21">
        <f>H307/J307-1</f>
        <v/>
      </c>
      <c r="M307" s="21">
        <f>VLOOKUP(A307,[1]PIVOT!$B$4:$C$400,2,FALSE)</f>
        <v/>
      </c>
      <c r="N307" s="19" t="n"/>
      <c r="Q307" s="20">
        <f>LEN(F307)</f>
        <v/>
      </c>
      <c r="W307" s="20">
        <f>LEN(G307)</f>
        <v/>
      </c>
    </row>
    <row r="308" ht="27" customHeight="1">
      <c r="A308" s="9" t="inlineStr">
        <is>
          <t>سلطة المياه/ بئر الزبيديه</t>
        </is>
      </c>
      <c r="B308" s="10" t="inlineStr">
        <is>
          <t>محطة ضخ مياه الزبيدية+ بئر (3)</t>
        </is>
      </c>
      <c r="C308" s="23" t="inlineStr">
        <is>
          <t>AL Zubaideyeh  PS</t>
        </is>
      </c>
      <c r="D308" s="12" t="inlineStr">
        <is>
          <t>36.290301</t>
        </is>
      </c>
      <c r="E308" s="12" t="inlineStr">
        <is>
          <t>32.376698</t>
        </is>
      </c>
      <c r="H308" s="20">
        <f>IFERROR(VLOOKUP(A308,[1]PIVOT!$B$4:$E$391,3,FALSE),"")</f>
        <v/>
      </c>
      <c r="I308" s="19">
        <f>H308/6000</f>
        <v/>
      </c>
      <c r="J308" s="19">
        <f>IFERROR(VLOOKUP(A308,[2]PIVOT!$A$4:$B$388,2,FALSE),"")</f>
        <v/>
      </c>
      <c r="K308" s="19">
        <f>J308/6000</f>
        <v/>
      </c>
      <c r="L308" s="21">
        <f>H308/J308-1</f>
        <v/>
      </c>
      <c r="M308" s="21">
        <f>VLOOKUP(A308,[1]PIVOT!$B$4:$C$400,2,FALSE)</f>
        <v/>
      </c>
      <c r="N308" s="19" t="n"/>
      <c r="Q308" s="20">
        <f>LEN(F308)</f>
        <v/>
      </c>
      <c r="W308" s="20">
        <f>LEN(G308)</f>
        <v/>
      </c>
    </row>
    <row r="309" ht="27" customHeight="1">
      <c r="A309" s="9" t="inlineStr">
        <is>
          <t>سلطة المياه/ بئر الكرادور رقم5</t>
        </is>
      </c>
      <c r="B309" s="10" t="inlineStr">
        <is>
          <t>بئر ومحطة ضخ مياه الكردور (5)</t>
        </is>
      </c>
      <c r="C309" s="23" t="inlineStr">
        <is>
          <t>Corodor 5</t>
        </is>
      </c>
      <c r="D309" s="11" t="inlineStr">
        <is>
          <t>36.5204</t>
        </is>
      </c>
      <c r="E309" s="11" t="inlineStr">
        <is>
          <t>32.1833</t>
        </is>
      </c>
      <c r="H309" s="20">
        <f>IFERROR(VLOOKUP(A309,[1]PIVOT!$B$4:$E$391,3,FALSE),"")</f>
        <v/>
      </c>
      <c r="I309" s="19">
        <f>H309/6000</f>
        <v/>
      </c>
      <c r="J309" s="19">
        <f>IFERROR(VLOOKUP(A309,[2]PIVOT!$A$4:$B$388,2,FALSE),"")</f>
        <v/>
      </c>
      <c r="K309" s="19">
        <f>J309/6000</f>
        <v/>
      </c>
      <c r="L309" s="21">
        <f>H309/J309-1</f>
        <v/>
      </c>
      <c r="M309" s="21">
        <f>VLOOKUP(A309,[1]PIVOT!$B$4:$C$400,2,FALSE)</f>
        <v/>
      </c>
      <c r="N309" s="19" t="n"/>
      <c r="Q309" s="20">
        <f>LEN(F309)</f>
        <v/>
      </c>
      <c r="W309" s="20">
        <f>LEN(G309)</f>
        <v/>
      </c>
    </row>
    <row r="310" ht="27" customHeight="1">
      <c r="A310" s="9" t="inlineStr">
        <is>
          <t>سلطة المياه/ بئر الكرادوررقم6</t>
        </is>
      </c>
      <c r="B310" s="10" t="inlineStr">
        <is>
          <t>بئر الكوريدور (6)</t>
        </is>
      </c>
      <c r="C310" s="23" t="inlineStr">
        <is>
          <t>Corodor 6</t>
        </is>
      </c>
      <c r="D310" s="12" t="inlineStr">
        <is>
          <t>36.51252</t>
        </is>
      </c>
      <c r="E310" s="12" t="inlineStr">
        <is>
          <t>32.177297</t>
        </is>
      </c>
      <c r="H310" s="20">
        <f>IFERROR(VLOOKUP(A310,[1]PIVOT!$B$4:$E$391,3,FALSE),"")</f>
        <v/>
      </c>
      <c r="I310" s="19">
        <f>H310/6000</f>
        <v/>
      </c>
      <c r="J310" s="19">
        <f>IFERROR(VLOOKUP(A310,[2]PIVOT!$A$4:$B$388,2,FALSE),"")</f>
        <v/>
      </c>
      <c r="K310" s="19">
        <f>J310/6000</f>
        <v/>
      </c>
      <c r="L310" s="21">
        <f>H310/J310-1</f>
        <v/>
      </c>
      <c r="M310" s="21">
        <f>VLOOKUP(A310,[1]PIVOT!$B$4:$C$400,2,FALSE)</f>
        <v/>
      </c>
      <c r="N310" s="19" t="n"/>
      <c r="Q310" s="20">
        <f>LEN(F310)</f>
        <v/>
      </c>
      <c r="W310" s="20">
        <f>LEN(G310)</f>
        <v/>
      </c>
    </row>
    <row r="311" ht="27" customHeight="1">
      <c r="A311" s="9" t="inlineStr">
        <is>
          <t>سلطة المياه/ بئر سميا/12</t>
        </is>
      </c>
      <c r="B311" s="10" t="inlineStr">
        <is>
          <t xml:space="preserve"> بئر سميا  (12)</t>
        </is>
      </c>
      <c r="C311" s="23" t="inlineStr">
        <is>
          <t>Sumaya Well 12</t>
        </is>
      </c>
      <c r="D311" s="12" t="inlineStr">
        <is>
          <t>36.229747</t>
        </is>
      </c>
      <c r="E311" s="12" t="inlineStr">
        <is>
          <t>32.447775</t>
        </is>
      </c>
      <c r="H311" s="20">
        <f>IFERROR(VLOOKUP(A311,[1]PIVOT!$B$4:$E$391,3,FALSE),"")</f>
        <v/>
      </c>
      <c r="I311" s="19">
        <f>H311/6000</f>
        <v/>
      </c>
      <c r="J311" s="19">
        <f>IFERROR(VLOOKUP(A311,[2]PIVOT!$A$4:$B$388,2,FALSE),"")</f>
        <v/>
      </c>
      <c r="K311" s="19">
        <f>J311/6000</f>
        <v/>
      </c>
      <c r="L311" s="21">
        <f>H311/J311-1</f>
        <v/>
      </c>
      <c r="M311" s="21">
        <f>VLOOKUP(A311,[1]PIVOT!$B$4:$C$400,2,FALSE)</f>
        <v/>
      </c>
      <c r="N311" s="19" t="n"/>
      <c r="Q311" s="20">
        <f>LEN(F311)</f>
        <v/>
      </c>
      <c r="W311" s="20">
        <f>LEN(G311)</f>
        <v/>
      </c>
    </row>
    <row r="312" ht="27" customHeight="1">
      <c r="A312" s="9" t="inlineStr">
        <is>
          <t>سلطة المياه/بئر الاقتصاديه1</t>
        </is>
      </c>
      <c r="B312" s="10" t="inlineStr">
        <is>
          <t>بئر الاقتصادية (2)، بئر الاقتصادية (7)</t>
        </is>
      </c>
      <c r="C312" s="23" t="inlineStr">
        <is>
          <t>MSEZ Well 2</t>
        </is>
      </c>
      <c r="D312" s="12" t="inlineStr">
        <is>
          <t>36.540591</t>
        </is>
      </c>
      <c r="E312" s="12" t="inlineStr">
        <is>
          <t>32.248073</t>
        </is>
      </c>
      <c r="H312" s="20">
        <f>IFERROR(VLOOKUP(A312,[1]PIVOT!$B$4:$E$391,3,FALSE),"")</f>
        <v/>
      </c>
      <c r="I312" s="19">
        <f>H312/6000</f>
        <v/>
      </c>
      <c r="J312" s="19">
        <f>IFERROR(VLOOKUP(A312,[2]PIVOT!$A$4:$B$388,2,FALSE),"")</f>
        <v/>
      </c>
      <c r="K312" s="19">
        <f>J312/6000</f>
        <v/>
      </c>
      <c r="L312" s="21">
        <f>H312/J312-1</f>
        <v/>
      </c>
      <c r="M312" s="21">
        <f>VLOOKUP(A312,[1]PIVOT!$B$4:$C$400,2,FALSE)</f>
        <v/>
      </c>
      <c r="N312" s="19" t="n"/>
      <c r="Q312" s="20">
        <f>LEN(F312)</f>
        <v/>
      </c>
      <c r="W312" s="20">
        <f>LEN(G312)</f>
        <v/>
      </c>
    </row>
    <row r="313" ht="27" customHeight="1">
      <c r="A313" s="9" t="inlineStr">
        <is>
          <t>سلطة المياه/بئر العاقب113</t>
        </is>
      </c>
      <c r="B313" s="10" t="inlineStr">
        <is>
          <t>بئر العاقب ك 113</t>
        </is>
      </c>
      <c r="C313" s="23" t="inlineStr">
        <is>
          <t>Aqeb Well 113</t>
        </is>
      </c>
      <c r="D313" s="11" t="inlineStr">
        <is>
          <t>36.61593836</t>
        </is>
      </c>
      <c r="E313" s="11" t="inlineStr">
        <is>
          <t>32.2182575</t>
        </is>
      </c>
      <c r="H313" s="20">
        <f>IFERROR(VLOOKUP(A313,[1]PIVOT!$B$4:$E$391,3,FALSE),"")</f>
        <v/>
      </c>
      <c r="I313" s="19">
        <f>H313/6000</f>
        <v/>
      </c>
      <c r="J313" s="19">
        <f>IFERROR(VLOOKUP(A313,[2]PIVOT!$A$4:$B$388,2,FALSE),"")</f>
        <v/>
      </c>
      <c r="K313" s="19">
        <f>J313/6000</f>
        <v/>
      </c>
      <c r="L313" s="21">
        <f>H313/J313-1</f>
        <v/>
      </c>
      <c r="M313" s="21">
        <f>VLOOKUP(A313,[1]PIVOT!$B$4:$C$400,2,FALSE)</f>
        <v/>
      </c>
      <c r="N313" s="19" t="n"/>
      <c r="Q313" s="20">
        <f>LEN(F313)</f>
        <v/>
      </c>
      <c r="W313" s="20">
        <f>LEN(G313)</f>
        <v/>
      </c>
    </row>
    <row r="314" ht="27" customHeight="1">
      <c r="A314" s="9" t="inlineStr">
        <is>
          <t>سلطة المياه/بئر القنيه</t>
        </is>
      </c>
      <c r="B314" s="10" t="inlineStr">
        <is>
          <t>بئر القنيه</t>
        </is>
      </c>
      <c r="C314" s="23" t="inlineStr">
        <is>
          <t>AlQnayya PS</t>
        </is>
      </c>
      <c r="D314" s="11" t="inlineStr">
        <is>
          <t>35.9956</t>
        </is>
      </c>
      <c r="E314" s="11" t="inlineStr">
        <is>
          <t>32.2458</t>
        </is>
      </c>
      <c r="H314" s="20">
        <f>IFERROR(VLOOKUP(A314,[1]PIVOT!$B$4:$E$391,3,FALSE),"")</f>
        <v/>
      </c>
      <c r="I314" s="19">
        <f>H314/6000</f>
        <v/>
      </c>
      <c r="J314" s="19">
        <f>IFERROR(VLOOKUP(A314,[2]PIVOT!$A$4:$B$388,2,FALSE),"")</f>
        <v/>
      </c>
      <c r="K314" s="19">
        <f>J314/6000</f>
        <v/>
      </c>
      <c r="L314" s="21">
        <f>H314/J314-1</f>
        <v/>
      </c>
      <c r="M314" s="21">
        <f>VLOOKUP(A314,[1]PIVOT!$B$4:$C$400,2,FALSE)</f>
        <v/>
      </c>
      <c r="N314" s="19" t="n"/>
      <c r="Q314" s="20">
        <f>LEN(F314)</f>
        <v/>
      </c>
      <c r="W314" s="20">
        <f>LEN(G314)</f>
        <v/>
      </c>
    </row>
    <row r="315" ht="27" customHeight="1">
      <c r="A315" s="9" t="inlineStr">
        <is>
          <t>سلطة المياه/بئر الكرادور رقم3</t>
        </is>
      </c>
      <c r="B315" s="10" t="inlineStr">
        <is>
          <t>بئر الكوريدور (3)</t>
        </is>
      </c>
      <c r="C315" s="23" t="inlineStr">
        <is>
          <t>Corodor 3</t>
        </is>
      </c>
      <c r="D315" s="12" t="inlineStr">
        <is>
          <t>36.521272</t>
        </is>
      </c>
      <c r="E315" s="12" t="inlineStr">
        <is>
          <t>32.19231</t>
        </is>
      </c>
      <c r="H315" s="20">
        <f>IFERROR(VLOOKUP(A315,[1]PIVOT!$B$4:$E$391,3,FALSE),"")</f>
        <v/>
      </c>
      <c r="I315" s="19">
        <f>H315/6000</f>
        <v/>
      </c>
      <c r="J315" s="19">
        <f>IFERROR(VLOOKUP(A315,[2]PIVOT!$A$4:$B$388,2,FALSE),"")</f>
        <v/>
      </c>
      <c r="K315" s="19">
        <f>J315/6000</f>
        <v/>
      </c>
      <c r="L315" s="21">
        <f>H315/J315-1</f>
        <v/>
      </c>
      <c r="M315" s="21">
        <f>VLOOKUP(A315,[1]PIVOT!$B$4:$C$400,2,FALSE)</f>
        <v/>
      </c>
      <c r="N315" s="19" t="n"/>
      <c r="Q315" s="20">
        <f>LEN(F315)</f>
        <v/>
      </c>
      <c r="W315" s="20">
        <f>LEN(G315)</f>
        <v/>
      </c>
    </row>
    <row r="316" ht="27" customHeight="1">
      <c r="A316" s="9" t="inlineStr">
        <is>
          <t>سلطة المياه/بئر رقم/4</t>
        </is>
      </c>
      <c r="B316" s="10" t="inlineStr">
        <is>
          <t>بئر المكيفتة (4)</t>
        </is>
      </c>
      <c r="C316" s="23" t="inlineStr">
        <is>
          <t>Mukaifteh PS</t>
        </is>
      </c>
      <c r="D316" s="11" t="inlineStr">
        <is>
          <t>36.6682328</t>
        </is>
      </c>
      <c r="E316" s="11" t="inlineStr">
        <is>
          <t>32.28181701</t>
        </is>
      </c>
      <c r="H316" s="20">
        <f>IFERROR(VLOOKUP(A316,[1]PIVOT!$B$4:$E$391,3,FALSE),"")</f>
        <v/>
      </c>
      <c r="I316" s="19">
        <f>H316/6000</f>
        <v/>
      </c>
      <c r="J316" s="19">
        <f>IFERROR(VLOOKUP(A316,[2]PIVOT!$A$4:$B$388,2,FALSE),"")</f>
        <v/>
      </c>
      <c r="K316" s="19">
        <f>J316/6000</f>
        <v/>
      </c>
      <c r="L316" s="21">
        <f>H316/J316-1</f>
        <v/>
      </c>
      <c r="M316" s="21">
        <f>VLOOKUP(A316,[1]PIVOT!$B$4:$C$400,2,FALSE)</f>
        <v/>
      </c>
      <c r="N316" s="19" t="n"/>
      <c r="Q316" s="20">
        <f>LEN(F316)</f>
        <v/>
      </c>
      <c r="W316" s="20">
        <f>LEN(G316)</f>
        <v/>
      </c>
    </row>
    <row r="317" ht="27" customHeight="1">
      <c r="A317" s="9" t="inlineStr">
        <is>
          <t>سلطة المياه/بئر قويلبه رقم 1</t>
        </is>
      </c>
      <c r="B317" s="10" t="inlineStr">
        <is>
          <t>محطة ضخ مياه القويلبة+ بئر (1)</t>
        </is>
      </c>
      <c r="C317" s="23" t="inlineStr">
        <is>
          <t>Qwailbeh PS</t>
        </is>
      </c>
      <c r="D317" s="11" t="inlineStr">
        <is>
          <t>35.87085603</t>
        </is>
      </c>
      <c r="E317" s="11" t="inlineStr">
        <is>
          <t>32.68566759</t>
        </is>
      </c>
      <c r="F317" s="20" t="n"/>
      <c r="G317" s="20" t="n"/>
      <c r="H317" s="20">
        <f>IFERROR(VLOOKUP(A317,[1]PIVOT!$B$4:$E$391,3,FALSE),"")</f>
        <v/>
      </c>
      <c r="I317" s="19">
        <f>H317/6000</f>
        <v/>
      </c>
      <c r="J317" s="19">
        <f>IFERROR(VLOOKUP(A317,[2]PIVOT!$A$4:$B$388,2,FALSE),"")</f>
        <v/>
      </c>
      <c r="K317" s="19">
        <f>J317/6000</f>
        <v/>
      </c>
      <c r="L317" s="21">
        <f>H317/J317-1</f>
        <v/>
      </c>
      <c r="M317" s="21">
        <f>VLOOKUP(A317,[1]PIVOT!$B$4:$C$400,2,FALSE)</f>
        <v/>
      </c>
      <c r="N317" s="19" t="n"/>
      <c r="Q317" s="20">
        <f>LEN(F317)</f>
        <v/>
      </c>
      <c r="W317" s="20">
        <f>LEN(G317)</f>
        <v/>
      </c>
    </row>
    <row r="318" ht="27" customHeight="1">
      <c r="A318" s="9" t="inlineStr">
        <is>
          <t>سلطة المياه/بئر/20</t>
        </is>
      </c>
      <c r="B318" s="10" t="inlineStr">
        <is>
          <t>بئر الخالدية (20)</t>
        </is>
      </c>
      <c r="C318" s="23" t="inlineStr">
        <is>
          <t>Khaldyeh 20</t>
        </is>
      </c>
      <c r="D318" s="12" t="inlineStr">
        <is>
          <t>36.311712</t>
        </is>
      </c>
      <c r="E318" s="12" t="inlineStr">
        <is>
          <t>32.163832</t>
        </is>
      </c>
      <c r="H318" s="20">
        <f>IFERROR(VLOOKUP(A318,[1]PIVOT!$B$4:$E$391,3,FALSE),"")</f>
        <v/>
      </c>
      <c r="I318" s="19">
        <f>H318/6000</f>
        <v/>
      </c>
      <c r="J318" s="19">
        <f>IFERROR(VLOOKUP(A318,[2]PIVOT!$A$4:$B$388,2,FALSE),"")</f>
        <v/>
      </c>
      <c r="K318" s="19">
        <f>J318/6000</f>
        <v/>
      </c>
      <c r="L318" s="21">
        <f>H318/J318-1</f>
        <v/>
      </c>
      <c r="M318" s="21">
        <f>VLOOKUP(A318,[1]PIVOT!$B$4:$C$400,2,FALSE)</f>
        <v/>
      </c>
      <c r="N318" s="19" t="n"/>
      <c r="Q318" s="20">
        <f>LEN(F318)</f>
        <v/>
      </c>
      <c r="W318" s="20">
        <f>LEN(G318)</f>
        <v/>
      </c>
    </row>
    <row r="319" ht="27" customHeight="1">
      <c r="A319" s="9" t="inlineStr">
        <is>
          <t>سلطة المياه/بئر/5</t>
        </is>
      </c>
      <c r="B319" s="10" t="inlineStr">
        <is>
          <t>بئر الاقتصادية (5)</t>
        </is>
      </c>
      <c r="C319" s="23" t="inlineStr">
        <is>
          <t>MSEZ Well 5</t>
        </is>
      </c>
      <c r="D319" s="12" t="inlineStr">
        <is>
          <t>36.569514</t>
        </is>
      </c>
      <c r="E319" s="12" t="inlineStr">
        <is>
          <t>32.226521</t>
        </is>
      </c>
      <c r="H319" s="20">
        <f>IFERROR(VLOOKUP(A319,[1]PIVOT!$B$4:$E$391,3,FALSE),"")</f>
        <v/>
      </c>
      <c r="I319" s="19">
        <f>H319/6000</f>
        <v/>
      </c>
      <c r="J319" s="19">
        <f>IFERROR(VLOOKUP(A319,[2]PIVOT!$A$4:$B$388,2,FALSE),"")</f>
        <v/>
      </c>
      <c r="K319" s="19">
        <f>J319/6000</f>
        <v/>
      </c>
      <c r="L319" s="21">
        <f>H319/J319-1</f>
        <v/>
      </c>
      <c r="M319" s="21">
        <f>VLOOKUP(A319,[1]PIVOT!$B$4:$C$400,2,FALSE)</f>
        <v/>
      </c>
      <c r="N319" s="19" t="n"/>
      <c r="Q319" s="20">
        <f>LEN(F319)</f>
        <v/>
      </c>
      <c r="W319" s="20">
        <f>LEN(G319)</f>
        <v/>
      </c>
    </row>
    <row r="320" ht="27" customHeight="1">
      <c r="A320" s="9" t="inlineStr">
        <is>
          <t>سلطة المياه/بئر7/الزنيه</t>
        </is>
      </c>
      <c r="B320" s="10" t="inlineStr">
        <is>
          <t>بئر الزنيه (7)</t>
        </is>
      </c>
      <c r="C320" s="24" t="e">
        <v>#N/A</v>
      </c>
      <c r="D320" s="11" t="inlineStr">
        <is>
          <t>36.16158942</t>
        </is>
      </c>
      <c r="E320" s="11" t="inlineStr">
        <is>
          <t>32.21663048</t>
        </is>
      </c>
      <c r="H320" s="20">
        <f>IFERROR(VLOOKUP(A320,[1]PIVOT!$B$4:$E$391,3,FALSE),"")</f>
        <v/>
      </c>
      <c r="I320" s="19">
        <f>H320/6000</f>
        <v/>
      </c>
      <c r="J320" s="19">
        <f>IFERROR(VLOOKUP(A320,[2]PIVOT!$A$4:$B$388,2,FALSE),"")</f>
        <v/>
      </c>
      <c r="K320" s="19">
        <f>J320/6000</f>
        <v/>
      </c>
      <c r="L320" s="21">
        <f>H320/J320-1</f>
        <v/>
      </c>
      <c r="M320" s="21">
        <f>VLOOKUP(A320,[1]PIVOT!$B$4:$C$400,2,FALSE)</f>
        <v/>
      </c>
      <c r="N320" s="19" t="n"/>
      <c r="Q320" s="20">
        <f>LEN(F320)</f>
        <v/>
      </c>
      <c r="W320" s="20">
        <f>LEN(G320)</f>
        <v/>
      </c>
    </row>
    <row r="321" ht="27" customHeight="1">
      <c r="A321" s="9" t="inlineStr">
        <is>
          <t>سلطه المياه/محطه تنقيه الشلاله</t>
        </is>
      </c>
      <c r="B321" s="10" t="inlineStr">
        <is>
          <t>محطة تنقية صرف صحي الشلاله</t>
        </is>
      </c>
      <c r="C321" s="23" t="inlineStr">
        <is>
          <t>Alshallala WWTP</t>
        </is>
      </c>
      <c r="D321" s="12" t="inlineStr">
        <is>
          <t>35.931116</t>
        </is>
      </c>
      <c r="E321" s="12" t="inlineStr">
        <is>
          <t>32.567268</t>
        </is>
      </c>
      <c r="F321" s="20" t="n"/>
      <c r="G321" s="20" t="n"/>
      <c r="H321" s="20">
        <f>IFERROR(VLOOKUP(A321,[1]PIVOT!$B$4:$E$391,3,FALSE),"")</f>
        <v/>
      </c>
      <c r="I321" s="19">
        <f>H321/6000</f>
        <v/>
      </c>
      <c r="J321" s="19">
        <f>IFERROR(VLOOKUP(A321,[2]PIVOT!$A$4:$B$388,2,FALSE),"")</f>
        <v/>
      </c>
      <c r="K321" s="19">
        <f>J321/6000</f>
        <v/>
      </c>
      <c r="L321" s="21">
        <f>H321/J321-1</f>
        <v/>
      </c>
      <c r="M321" s="21">
        <f>VLOOKUP(A321,[1]PIVOT!$B$4:$C$400,2,FALSE)</f>
        <v/>
      </c>
      <c r="N321" s="19" t="n"/>
      <c r="Q321" s="20">
        <f>LEN(F321)</f>
        <v/>
      </c>
      <c r="W321" s="20">
        <f>LEN(G321)</f>
        <v/>
      </c>
    </row>
    <row r="322" ht="27" customHeight="1">
      <c r="A322" s="9" t="inlineStr">
        <is>
          <t>سلطه مياه/بير عيون الحمام/4</t>
        </is>
      </c>
      <c r="B322" s="10" t="inlineStr">
        <is>
          <t>بئر عيون الحمام (4)</t>
        </is>
      </c>
      <c r="C322" s="23" t="inlineStr">
        <is>
          <t>Oyoon Al Hammam Well 4 (4A)</t>
        </is>
      </c>
      <c r="D322" s="11" t="inlineStr">
        <is>
          <t>35.69212269</t>
        </is>
      </c>
      <c r="E322" s="11" t="inlineStr">
        <is>
          <t>32.51309104</t>
        </is>
      </c>
      <c r="H322" s="20">
        <f>IFERROR(VLOOKUP(A322,[1]PIVOT!$B$4:$E$391,3,FALSE),"")</f>
        <v/>
      </c>
      <c r="I322" s="19">
        <f>H322/6000</f>
        <v/>
      </c>
      <c r="J322" s="19">
        <f>IFERROR(VLOOKUP(A322,[2]PIVOT!$A$4:$B$388,2,FALSE),"")</f>
        <v/>
      </c>
      <c r="K322" s="19">
        <f>J322/6000</f>
        <v/>
      </c>
      <c r="L322" s="21">
        <f>H322/J322-1</f>
        <v/>
      </c>
      <c r="M322" s="21">
        <f>VLOOKUP(A322,[1]PIVOT!$B$4:$C$400,2,FALSE)</f>
        <v/>
      </c>
      <c r="N322" s="19" t="n"/>
      <c r="Q322" s="20">
        <f>LEN(F322)</f>
        <v/>
      </c>
      <c r="W322" s="20">
        <f>LEN(G322)</f>
        <v/>
      </c>
    </row>
    <row r="323" ht="27" customHeight="1">
      <c r="A323" s="9" t="inlineStr">
        <is>
          <t>شركة مياه اليرموك</t>
        </is>
      </c>
      <c r="B323" s="10" t="inlineStr">
        <is>
          <t xml:space="preserve">شركة مياه اليرموك-عداد مياه فوعرا-مشروع تاهيل شبكة اربد </t>
        </is>
      </c>
      <c r="C323" s="24" t="e">
        <v>#N/A</v>
      </c>
      <c r="D323" s="11" t="inlineStr">
        <is>
          <t>35.82848362</t>
        </is>
      </c>
      <c r="E323" s="11" t="inlineStr">
        <is>
          <t>32.58671792</t>
        </is>
      </c>
      <c r="H323" s="20">
        <f>IFERROR(VLOOKUP(A323,[1]PIVOT!$B$4:$E$391,3,FALSE),"")</f>
        <v/>
      </c>
      <c r="I323" s="19">
        <f>H323/6000</f>
        <v/>
      </c>
      <c r="J323" s="19">
        <f>IFERROR(VLOOKUP(A323,[2]PIVOT!$A$4:$B$388,2,FALSE),"")</f>
        <v/>
      </c>
      <c r="K323" s="19">
        <f>J323/6000</f>
        <v/>
      </c>
      <c r="L323" s="21">
        <f>H323/J323-1</f>
        <v/>
      </c>
      <c r="M323" s="21">
        <f>VLOOKUP(A323,[1]PIVOT!$B$4:$C$400,2,FALSE)</f>
        <v/>
      </c>
      <c r="N323" s="19" t="n"/>
      <c r="Q323" s="20">
        <f>LEN(F323)</f>
        <v/>
      </c>
      <c r="W323" s="20">
        <f>LEN(G323)</f>
        <v/>
      </c>
    </row>
    <row r="324" ht="27" customHeight="1">
      <c r="A324" s="9" t="inlineStr">
        <is>
          <t>شركة مياه اليرموك</t>
        </is>
      </c>
      <c r="B324" s="10" t="inlineStr">
        <is>
          <t>بئر صبحا البلد (2)</t>
        </is>
      </c>
      <c r="C324" s="23" t="inlineStr">
        <is>
          <t>Sabha Well</t>
        </is>
      </c>
      <c r="D324" s="11" t="inlineStr">
        <is>
          <t>36.50308246</t>
        </is>
      </c>
      <c r="E324" s="11" t="inlineStr">
        <is>
          <t>32.32015733</t>
        </is>
      </c>
      <c r="H324" s="20" t="n"/>
      <c r="I324" s="19">
        <f>H324/6000</f>
        <v/>
      </c>
      <c r="J324" s="19">
        <f>IFERROR(VLOOKUP(A324,[2]PIVOT!$A$4:$B$388,2,FALSE),"")</f>
        <v/>
      </c>
      <c r="K324" s="19">
        <f>J324/6000</f>
        <v/>
      </c>
      <c r="L324" s="21">
        <f>H324/J324-1</f>
        <v/>
      </c>
      <c r="M324" s="21">
        <f>VLOOKUP(A324,[1]PIVOT!$B$4:$C$400,2,FALSE)</f>
        <v/>
      </c>
      <c r="N324" s="19" t="n"/>
      <c r="Q324" s="20">
        <f>LEN(F324)</f>
        <v/>
      </c>
      <c r="W324" s="20">
        <f>LEN(G324)</f>
        <v/>
      </c>
    </row>
    <row r="325" ht="27" customHeight="1">
      <c r="A325" s="9" t="inlineStr">
        <is>
          <t>شركة مياه اليرموك</t>
        </is>
      </c>
      <c r="B325" s="10" t="inlineStr">
        <is>
          <t>محطة ضخ مياه بوستر جديتا</t>
        </is>
      </c>
      <c r="C325" s="23" t="inlineStr">
        <is>
          <t>Booster Judayta</t>
        </is>
      </c>
      <c r="D325" s="11" t="inlineStr">
        <is>
          <t>35.70333449</t>
        </is>
      </c>
      <c r="E325" s="11" t="inlineStr">
        <is>
          <t>32.40932657</t>
        </is>
      </c>
      <c r="H325" s="20" t="n"/>
      <c r="I325" s="19">
        <f>H325/6000</f>
        <v/>
      </c>
      <c r="J325" s="19">
        <f>IFERROR(VLOOKUP(A325,[2]PIVOT!$A$4:$B$388,2,FALSE),"")</f>
        <v/>
      </c>
      <c r="K325" s="19">
        <f>J325/6000</f>
        <v/>
      </c>
      <c r="L325" s="21">
        <f>H325/J325-1</f>
        <v/>
      </c>
      <c r="M325" s="21">
        <f>VLOOKUP(A325,[1]PIVOT!$B$4:$C$400,2,FALSE)</f>
        <v/>
      </c>
      <c r="N325" s="19" t="n"/>
      <c r="Q325" s="20">
        <f>LEN(F325)</f>
        <v/>
      </c>
      <c r="W325" s="20">
        <f>LEN(G325)</f>
        <v/>
      </c>
    </row>
    <row r="326" ht="27" customHeight="1">
      <c r="A326" s="9" t="inlineStr">
        <is>
          <t>شركة مياه اليرموك</t>
        </is>
      </c>
      <c r="B326" s="10" t="inlineStr">
        <is>
          <t xml:space="preserve">شركة مياه اليرموك-عداد مياه حواره-مشروع تاهيل شبكة اربد </t>
        </is>
      </c>
      <c r="C326" s="24" t="e">
        <v>#N/A</v>
      </c>
      <c r="D326" s="11" t="n"/>
      <c r="E326" s="11" t="n"/>
      <c r="H326" s="20" t="n"/>
      <c r="I326" s="19">
        <f>H326/6000</f>
        <v/>
      </c>
      <c r="J326" s="19">
        <f>IFERROR(VLOOKUP(A326,[2]PIVOT!$A$4:$B$388,2,FALSE),"")</f>
        <v/>
      </c>
      <c r="K326" s="19">
        <f>J326/6000</f>
        <v/>
      </c>
      <c r="L326" s="21">
        <f>H326/J326-1</f>
        <v/>
      </c>
      <c r="M326" s="21">
        <f>VLOOKUP(A326,[1]PIVOT!$B$4:$C$400,2,FALSE)</f>
        <v/>
      </c>
      <c r="N326" s="19" t="n"/>
      <c r="Q326" s="20">
        <f>LEN(F326)</f>
        <v/>
      </c>
      <c r="W326" s="20">
        <f>LEN(G326)</f>
        <v/>
      </c>
    </row>
    <row r="327" ht="27" customHeight="1">
      <c r="A327" s="9" t="inlineStr">
        <is>
          <t>شركة مياه اليرموك</t>
        </is>
      </c>
      <c r="B327" s="10" t="inlineStr">
        <is>
          <t>شركة مياه اليرموك- ادارة مياه محافظة عجلون</t>
        </is>
      </c>
      <c r="C327" s="24" t="e">
        <v>#N/A</v>
      </c>
      <c r="D327" s="11" t="inlineStr">
        <is>
          <t>35.7518</t>
        </is>
      </c>
      <c r="E327" s="11" t="inlineStr">
        <is>
          <t>32.3349</t>
        </is>
      </c>
      <c r="H327" s="20" t="n"/>
      <c r="I327" s="19">
        <f>H327/6000</f>
        <v/>
      </c>
      <c r="J327" s="19">
        <f>IFERROR(VLOOKUP(A327,[2]PIVOT!$A$4:$B$388,2,FALSE),"")</f>
        <v/>
      </c>
      <c r="K327" s="19">
        <f>J327/6000</f>
        <v/>
      </c>
      <c r="L327" s="21">
        <f>H327/J327-1</f>
        <v/>
      </c>
      <c r="M327" s="21">
        <f>VLOOKUP(A327,[1]PIVOT!$B$4:$C$400,2,FALSE)</f>
        <v/>
      </c>
      <c r="N327" s="19" t="n"/>
      <c r="Q327" s="20">
        <f>LEN(F327)</f>
        <v/>
      </c>
      <c r="W327" s="20">
        <f>LEN(G327)</f>
        <v/>
      </c>
    </row>
    <row r="328" ht="27" customHeight="1">
      <c r="A328" s="9" t="inlineStr">
        <is>
          <t>شركة مياه اليرموك</t>
        </is>
      </c>
      <c r="B328" s="10" t="inlineStr">
        <is>
          <t xml:space="preserve">شركة مياه اليرموك-عداد مياه بيت راس (1)-مشروع تاهيل شبكة اربد </t>
        </is>
      </c>
      <c r="C328" s="24" t="e">
        <v>#N/A</v>
      </c>
      <c r="D328" s="12" t="inlineStr">
        <is>
          <t>35.8643</t>
        </is>
      </c>
      <c r="E328" s="12" t="inlineStr">
        <is>
          <t>32.589335</t>
        </is>
      </c>
      <c r="H328" s="20" t="n"/>
      <c r="I328" s="19">
        <f>H328/6000</f>
        <v/>
      </c>
      <c r="J328" s="19">
        <f>IFERROR(VLOOKUP(A328,[2]PIVOT!$A$4:$B$388,2,FALSE),"")</f>
        <v/>
      </c>
      <c r="K328" s="19">
        <f>J328/6000</f>
        <v/>
      </c>
      <c r="L328" s="21">
        <f>H328/J328-1</f>
        <v/>
      </c>
      <c r="M328" s="21">
        <f>VLOOKUP(A328,[1]PIVOT!$B$4:$C$400,2,FALSE)</f>
        <v/>
      </c>
      <c r="N328" s="19" t="n"/>
      <c r="Q328" s="20">
        <f>LEN(F328)</f>
        <v/>
      </c>
      <c r="W328" s="20">
        <f>LEN(G328)</f>
        <v/>
      </c>
    </row>
    <row r="329" ht="27" customHeight="1">
      <c r="A329" s="9" t="inlineStr">
        <is>
          <t>شركة مياه اليرموك</t>
        </is>
      </c>
      <c r="B329" s="10" t="inlineStr">
        <is>
          <t xml:space="preserve">شركة مياه اليرموك-عداد مياه بيت راس (2)-مشروع تاهيل شبكة اربد </t>
        </is>
      </c>
      <c r="C329" s="24" t="e">
        <v>#N/A</v>
      </c>
      <c r="D329" s="11" t="inlineStr">
        <is>
          <t>35.86738764</t>
        </is>
      </c>
      <c r="E329" s="11" t="inlineStr">
        <is>
          <t>32.58803028</t>
        </is>
      </c>
      <c r="H329" s="20" t="n"/>
      <c r="I329" s="19">
        <f>H329/6000</f>
        <v/>
      </c>
      <c r="J329" s="19">
        <f>IFERROR(VLOOKUP(A329,[2]PIVOT!$A$4:$B$388,2,FALSE),"")</f>
        <v/>
      </c>
      <c r="K329" s="19">
        <f>J329/6000</f>
        <v/>
      </c>
      <c r="L329" s="21">
        <f>H329/J329-1</f>
        <v/>
      </c>
      <c r="M329" s="21">
        <f>VLOOKUP(A329,[1]PIVOT!$B$4:$C$400,2,FALSE)</f>
        <v/>
      </c>
      <c r="N329" s="19" t="n"/>
      <c r="Q329" s="20">
        <f>LEN(F329)</f>
        <v/>
      </c>
      <c r="W329" s="20">
        <f>LEN(G329)</f>
        <v/>
      </c>
    </row>
    <row r="330" ht="27" customHeight="1">
      <c r="A330" s="9" t="inlineStr">
        <is>
          <t>شركة مياه اليرموك</t>
        </is>
      </c>
      <c r="B330" s="10" t="inlineStr">
        <is>
          <t xml:space="preserve">شركة مياه اليرموك-عداد مياه دوار اليوسفي-مشروع تاهيل شبكة اربد </t>
        </is>
      </c>
      <c r="C330" s="24" t="e">
        <v>#N/A</v>
      </c>
      <c r="D330" s="11" t="inlineStr">
        <is>
          <t>35.86796679</t>
        </is>
      </c>
      <c r="E330" s="11" t="inlineStr">
        <is>
          <t>32.52806446</t>
        </is>
      </c>
      <c r="H330" s="20" t="n"/>
      <c r="I330" s="19">
        <f>H330/6000</f>
        <v/>
      </c>
      <c r="J330" s="19">
        <f>IFERROR(VLOOKUP(A330,[2]PIVOT!$A$4:$B$388,2,FALSE),"")</f>
        <v/>
      </c>
      <c r="K330" s="19">
        <f>J330/6000</f>
        <v/>
      </c>
      <c r="L330" s="21">
        <f>H330/J330-1</f>
        <v/>
      </c>
      <c r="M330" s="21">
        <f>VLOOKUP(A330,[1]PIVOT!$B$4:$C$400,2,FALSE)</f>
        <v/>
      </c>
      <c r="N330" s="19" t="n"/>
      <c r="Q330" s="20">
        <f>LEN(F330)</f>
        <v/>
      </c>
      <c r="W330" s="20">
        <f>LEN(G330)</f>
        <v/>
      </c>
    </row>
    <row r="331" ht="27" customHeight="1">
      <c r="A331" s="9" t="inlineStr">
        <is>
          <t>شركة مياه اليرموك</t>
        </is>
      </c>
      <c r="B331" s="10" t="inlineStr">
        <is>
          <t>شركة مياه اليرموك- مديرية مياه الرمثا</t>
        </is>
      </c>
      <c r="C331" s="24" t="e">
        <v>#N/A</v>
      </c>
      <c r="D331" s="12" t="inlineStr">
        <is>
          <t>36.003504</t>
        </is>
      </c>
      <c r="E331" s="12" t="inlineStr">
        <is>
          <t>32.537271</t>
        </is>
      </c>
      <c r="H331" s="20" t="n"/>
      <c r="I331" s="19">
        <f>H331/6000</f>
        <v/>
      </c>
      <c r="J331" s="19">
        <f>IFERROR(VLOOKUP(A331,[2]PIVOT!$A$4:$B$388,2,FALSE),"")</f>
        <v/>
      </c>
      <c r="K331" s="19">
        <f>J331/6000</f>
        <v/>
      </c>
      <c r="L331" s="21">
        <f>H331/J331-1</f>
        <v/>
      </c>
      <c r="M331" s="21">
        <f>VLOOKUP(A331,[1]PIVOT!$B$4:$C$400,2,FALSE)</f>
        <v/>
      </c>
      <c r="N331" s="19" t="n"/>
      <c r="Q331" s="20">
        <f>LEN(F331)</f>
        <v/>
      </c>
      <c r="W331" s="20">
        <f>LEN(G331)</f>
        <v/>
      </c>
    </row>
    <row r="332" ht="27" customHeight="1">
      <c r="A332" s="9" t="inlineStr">
        <is>
          <t>شركة مياه اليرموك</t>
        </is>
      </c>
      <c r="B332" s="10" t="inlineStr">
        <is>
          <t xml:space="preserve">شركة مياه اليرموك-عداد مياه شارع الجامعه-مشروع تاهيل شبكة اربد </t>
        </is>
      </c>
      <c r="C332" s="24" t="e">
        <v>#N/A</v>
      </c>
      <c r="D332" s="11" t="inlineStr">
        <is>
          <t>35.8476</t>
        </is>
      </c>
      <c r="E332" s="11" t="inlineStr">
        <is>
          <t>32.5412</t>
        </is>
      </c>
      <c r="H332" s="20" t="n"/>
      <c r="I332" s="19">
        <f>H332/6000</f>
        <v/>
      </c>
      <c r="J332" s="19">
        <f>IFERROR(VLOOKUP(A332,[2]PIVOT!$A$4:$B$388,2,FALSE),"")</f>
        <v/>
      </c>
      <c r="K332" s="19">
        <f>J332/6000</f>
        <v/>
      </c>
      <c r="L332" s="21">
        <f>H332/J332-1</f>
        <v/>
      </c>
      <c r="M332" s="21">
        <f>VLOOKUP(A332,[1]PIVOT!$B$4:$C$400,2,FALSE)</f>
        <v/>
      </c>
      <c r="N332" s="19" t="n"/>
      <c r="Q332" s="20">
        <f>LEN(F332)</f>
        <v/>
      </c>
      <c r="W332" s="20">
        <f>LEN(G332)</f>
        <v/>
      </c>
    </row>
    <row r="333" ht="27" customHeight="1">
      <c r="A333" s="9" t="inlineStr">
        <is>
          <t>شركة مياه اليرموك</t>
        </is>
      </c>
      <c r="B333" s="10" t="inlineStr">
        <is>
          <t xml:space="preserve">شركة مياه اليرموك-عداد مياه بشرى (1)-مشروع تاهيل شبكة اربد </t>
        </is>
      </c>
      <c r="C333" s="24" t="e">
        <v>#N/A</v>
      </c>
      <c r="D333" s="11" t="inlineStr">
        <is>
          <t>35.88300169</t>
        </is>
      </c>
      <c r="E333" s="11" t="inlineStr">
        <is>
          <t>32.56674743</t>
        </is>
      </c>
      <c r="H333" s="20" t="n"/>
      <c r="I333" s="19">
        <f>H333/6000</f>
        <v/>
      </c>
      <c r="J333" s="19">
        <f>IFERROR(VLOOKUP(A333,[2]PIVOT!$A$4:$B$388,2,FALSE),"")</f>
        <v/>
      </c>
      <c r="K333" s="19">
        <f>J333/6000</f>
        <v/>
      </c>
      <c r="L333" s="21">
        <f>H333/J333-1</f>
        <v/>
      </c>
      <c r="M333" s="21">
        <f>VLOOKUP(A333,[1]PIVOT!$B$4:$C$400,2,FALSE)</f>
        <v/>
      </c>
      <c r="N333" s="19" t="n"/>
      <c r="Q333" s="20">
        <f>LEN(F333)</f>
        <v/>
      </c>
      <c r="W333" s="20">
        <f>LEN(G333)</f>
        <v/>
      </c>
    </row>
    <row r="334" ht="27" customHeight="1">
      <c r="A334" s="9" t="inlineStr">
        <is>
          <t>شركة مياه اليرموك</t>
        </is>
      </c>
      <c r="B334" s="10" t="inlineStr">
        <is>
          <t xml:space="preserve">شركة مياه اليرموك-عداد مياه البارحه (1)-مشروع تاهيل شبكة اربد </t>
        </is>
      </c>
      <c r="C334" s="24" t="e">
        <v>#N/A</v>
      </c>
      <c r="D334" s="11" t="inlineStr">
        <is>
          <t>35.83085995</t>
        </is>
      </c>
      <c r="E334" s="11" t="inlineStr">
        <is>
          <t>32.5651759</t>
        </is>
      </c>
      <c r="H334" s="20" t="n"/>
      <c r="I334" s="19">
        <f>H334/6000</f>
        <v/>
      </c>
      <c r="J334" s="19">
        <f>IFERROR(VLOOKUP(A334,[2]PIVOT!$A$4:$B$388,2,FALSE),"")</f>
        <v/>
      </c>
      <c r="K334" s="19">
        <f>J334/6000</f>
        <v/>
      </c>
      <c r="L334" s="21">
        <f>H334/J334-1</f>
        <v/>
      </c>
      <c r="M334" s="21">
        <f>VLOOKUP(A334,[1]PIVOT!$B$4:$C$400,2,FALSE)</f>
        <v/>
      </c>
      <c r="N334" s="19" t="n"/>
      <c r="Q334" s="20">
        <f>LEN(F334)</f>
        <v/>
      </c>
      <c r="W334" s="20">
        <f>LEN(G334)</f>
        <v/>
      </c>
    </row>
    <row r="335" ht="27" customHeight="1">
      <c r="A335" s="9" t="inlineStr">
        <is>
          <t>شركة مياه اليرموك</t>
        </is>
      </c>
      <c r="B335" s="10" t="inlineStr">
        <is>
          <t xml:space="preserve">شركة مياه اليرموك-عداد مياه مجمع عمان-مشروع تاهيل شبكة اربد </t>
        </is>
      </c>
      <c r="C335" s="24" t="e">
        <v>#N/A</v>
      </c>
      <c r="D335" s="11" t="inlineStr">
        <is>
          <t>35.87</t>
        </is>
      </c>
      <c r="E335" s="11" t="inlineStr">
        <is>
          <t>32.5331</t>
        </is>
      </c>
      <c r="H335" s="20" t="n"/>
      <c r="I335" s="19">
        <f>H335/6000</f>
        <v/>
      </c>
      <c r="J335" s="19">
        <f>IFERROR(VLOOKUP(A335,[2]PIVOT!$A$4:$B$388,2,FALSE),"")</f>
        <v/>
      </c>
      <c r="K335" s="19">
        <f>J335/6000</f>
        <v/>
      </c>
      <c r="L335" s="21">
        <f>H335/J335-1</f>
        <v/>
      </c>
      <c r="M335" s="21">
        <f>VLOOKUP(A335,[1]PIVOT!$B$4:$C$400,2,FALSE)</f>
        <v/>
      </c>
      <c r="N335" s="19" t="n"/>
      <c r="Q335" s="20">
        <f>LEN(F335)</f>
        <v/>
      </c>
      <c r="W335" s="20">
        <f>LEN(G335)</f>
        <v/>
      </c>
    </row>
    <row r="336" ht="27" customHeight="1">
      <c r="A336" s="9" t="inlineStr">
        <is>
          <t>شركة مياه اليرموك</t>
        </is>
      </c>
      <c r="B336" s="10" t="inlineStr">
        <is>
          <t xml:space="preserve">شركة مياه اليرموك-عداد مياه شارع القدس المطارق-مشروع تاهيل شبكة اربد </t>
        </is>
      </c>
      <c r="C336" s="24" t="e">
        <v>#N/A</v>
      </c>
      <c r="D336" s="11" t="inlineStr">
        <is>
          <t>35.84886194</t>
        </is>
      </c>
      <c r="E336" s="11" t="inlineStr">
        <is>
          <t>32.57193629</t>
        </is>
      </c>
      <c r="H336" s="20" t="n"/>
      <c r="I336" s="19">
        <f>H336/6000</f>
        <v/>
      </c>
      <c r="J336" s="19">
        <f>IFERROR(VLOOKUP(A336,[2]PIVOT!$A$4:$B$388,2,FALSE),"")</f>
        <v/>
      </c>
      <c r="K336" s="19">
        <f>J336/6000</f>
        <v/>
      </c>
      <c r="L336" s="21">
        <f>H336/J336-1</f>
        <v/>
      </c>
      <c r="M336" s="21">
        <f>VLOOKUP(A336,[1]PIVOT!$B$4:$C$400,2,FALSE)</f>
        <v/>
      </c>
      <c r="N336" s="19" t="n"/>
      <c r="Q336" s="20">
        <f>LEN(F336)</f>
        <v/>
      </c>
      <c r="W336" s="20">
        <f>LEN(G336)</f>
        <v/>
      </c>
    </row>
    <row r="337" ht="27" customHeight="1">
      <c r="A337" s="9" t="inlineStr">
        <is>
          <t>شركة مياه اليرموك</t>
        </is>
      </c>
      <c r="B337" s="10" t="inlineStr">
        <is>
          <t xml:space="preserve">شركة مياه اليرموك-عداد مياه بشرى (2)-مشروع تاهيل شبكة اربد </t>
        </is>
      </c>
      <c r="C337" s="24" t="e">
        <v>#N/A</v>
      </c>
      <c r="D337" s="11" t="inlineStr">
        <is>
          <t>35.87181034</t>
        </is>
      </c>
      <c r="E337" s="11" t="inlineStr">
        <is>
          <t>32.54748918</t>
        </is>
      </c>
      <c r="H337" s="20" t="n"/>
      <c r="I337" s="19">
        <f>H337/6000</f>
        <v/>
      </c>
      <c r="J337" s="19">
        <f>IFERROR(VLOOKUP(A337,[2]PIVOT!$A$4:$B$388,2,FALSE),"")</f>
        <v/>
      </c>
      <c r="K337" s="19">
        <f>J337/6000</f>
        <v/>
      </c>
      <c r="L337" s="21">
        <f>H337/J337-1</f>
        <v/>
      </c>
      <c r="M337" s="21">
        <f>VLOOKUP(A337,[1]PIVOT!$B$4:$C$400,2,FALSE)</f>
        <v/>
      </c>
      <c r="N337" s="19" t="n"/>
      <c r="Q337" s="20">
        <f>LEN(F337)</f>
        <v/>
      </c>
      <c r="W337" s="20">
        <f>LEN(G337)</f>
        <v/>
      </c>
    </row>
    <row r="338" ht="27" customHeight="1">
      <c r="A338" s="9" t="inlineStr">
        <is>
          <t>شركة مياه اليرموك</t>
        </is>
      </c>
      <c r="B338" s="10" t="inlineStr">
        <is>
          <t xml:space="preserve">شركة مياه اليرموك-عداد مياه المدينة الصناعيه اربد-مشروع تاهيل شبكة اربد </t>
        </is>
      </c>
      <c r="C338" s="24" t="e">
        <v>#N/A</v>
      </c>
      <c r="D338" s="11" t="inlineStr">
        <is>
          <t>35.87526584</t>
        </is>
      </c>
      <c r="E338" s="11" t="inlineStr">
        <is>
          <t>32.57231614</t>
        </is>
      </c>
      <c r="H338" s="20" t="n"/>
      <c r="I338" s="19">
        <f>H338/6000</f>
        <v/>
      </c>
      <c r="J338" s="19">
        <f>IFERROR(VLOOKUP(A338,[2]PIVOT!$A$4:$B$388,2,FALSE),"")</f>
        <v/>
      </c>
      <c r="K338" s="19">
        <f>J338/6000</f>
        <v/>
      </c>
      <c r="L338" s="21">
        <f>H338/J338-1</f>
        <v/>
      </c>
      <c r="M338" s="21">
        <f>VLOOKUP(A338,[1]PIVOT!$B$4:$C$400,2,FALSE)</f>
        <v/>
      </c>
      <c r="N338" s="19" t="n"/>
      <c r="Q338" s="20">
        <f>LEN(F338)</f>
        <v/>
      </c>
      <c r="W338" s="20">
        <f>LEN(G338)</f>
        <v/>
      </c>
    </row>
    <row r="339" ht="27" customHeight="1">
      <c r="A339" s="9" t="inlineStr">
        <is>
          <t>شركة مياه اليرموك</t>
        </is>
      </c>
      <c r="B339" s="10" t="inlineStr">
        <is>
          <t xml:space="preserve">شركة مياه اليرموك-عداد مياه بشرى (3)-مشروع تاهيل شبكة اربد </t>
        </is>
      </c>
      <c r="C339" s="24" t="e">
        <v>#N/A</v>
      </c>
      <c r="D339" s="11" t="inlineStr">
        <is>
          <t>35.88203495</t>
        </is>
      </c>
      <c r="E339" s="11" t="inlineStr">
        <is>
          <t>32.55962923</t>
        </is>
      </c>
      <c r="H339" s="20" t="n"/>
      <c r="I339" s="19">
        <f>H339/6000</f>
        <v/>
      </c>
      <c r="J339" s="19">
        <f>IFERROR(VLOOKUP(A339,[2]PIVOT!$A$4:$B$388,2,FALSE),"")</f>
        <v/>
      </c>
      <c r="K339" s="19">
        <f>J339/6000</f>
        <v/>
      </c>
      <c r="L339" s="21">
        <f>H339/J339-1</f>
        <v/>
      </c>
      <c r="M339" s="21">
        <f>VLOOKUP(A339,[1]PIVOT!$B$4:$C$400,2,FALSE)</f>
        <v/>
      </c>
      <c r="N339" s="19" t="n"/>
      <c r="Q339" s="20">
        <f>LEN(F339)</f>
        <v/>
      </c>
      <c r="W339" s="20">
        <f>LEN(G339)</f>
        <v/>
      </c>
    </row>
    <row r="340" ht="27" customHeight="1">
      <c r="A340" s="9" t="inlineStr">
        <is>
          <t>شركة مياه اليرموك</t>
        </is>
      </c>
      <c r="B340" s="10" t="inlineStr">
        <is>
          <t xml:space="preserve">شركة مياه اليرموك-عداد مياه البارحه (2)-مشروع تاهيل شبكة اربد </t>
        </is>
      </c>
      <c r="C340" s="24" t="e">
        <v>#N/A</v>
      </c>
      <c r="D340" s="11" t="inlineStr">
        <is>
          <t>35.82815909</t>
        </is>
      </c>
      <c r="E340" s="11" t="inlineStr">
        <is>
          <t>32.56126501</t>
        </is>
      </c>
      <c r="H340" s="20" t="n"/>
      <c r="I340" s="19">
        <f>H340/6000</f>
        <v/>
      </c>
      <c r="J340" s="19">
        <f>IFERROR(VLOOKUP(A340,[2]PIVOT!$A$4:$B$388,2,FALSE),"")</f>
        <v/>
      </c>
      <c r="K340" s="19">
        <f>J340/6000</f>
        <v/>
      </c>
      <c r="L340" s="21">
        <f>H340/J340-1</f>
        <v/>
      </c>
      <c r="M340" s="21">
        <f>VLOOKUP(A340,[1]PIVOT!$B$4:$C$400,2,FALSE)</f>
        <v/>
      </c>
      <c r="N340" s="19" t="n"/>
      <c r="Q340" s="20">
        <f>LEN(F340)</f>
        <v/>
      </c>
      <c r="W340" s="20">
        <f>LEN(G340)</f>
        <v/>
      </c>
    </row>
    <row r="341" ht="27" customHeight="1">
      <c r="A341" s="9" t="inlineStr">
        <is>
          <t>شركة مياه اليرموك</t>
        </is>
      </c>
      <c r="B341" s="10" t="inlineStr">
        <is>
          <t xml:space="preserve">شركة مياه اليرموك-عداد مياه زبدا-مشروع تاهيل شبكة اربد </t>
        </is>
      </c>
      <c r="C341" s="24" t="e">
        <v>#N/A</v>
      </c>
      <c r="D341" s="11" t="inlineStr">
        <is>
          <t>35.83502251</t>
        </is>
      </c>
      <c r="E341" s="11" t="inlineStr">
        <is>
          <t>32.54168</t>
        </is>
      </c>
      <c r="H341" s="20" t="n"/>
      <c r="I341" s="19">
        <f>H341/6000</f>
        <v/>
      </c>
      <c r="J341" s="19">
        <f>IFERROR(VLOOKUP(A341,[2]PIVOT!$A$4:$B$388,2,FALSE),"")</f>
        <v/>
      </c>
      <c r="K341" s="19">
        <f>J341/6000</f>
        <v/>
      </c>
      <c r="L341" s="21">
        <f>H341/J341-1</f>
        <v/>
      </c>
      <c r="M341" s="21">
        <f>VLOOKUP(A341,[1]PIVOT!$B$4:$C$400,2,FALSE)</f>
        <v/>
      </c>
      <c r="N341" s="19" t="n"/>
      <c r="Q341" s="20">
        <f>LEN(F341)</f>
        <v/>
      </c>
      <c r="W341" s="20">
        <f>LEN(G341)</f>
        <v/>
      </c>
    </row>
    <row r="342" ht="27" customHeight="1">
      <c r="A342" s="9" t="inlineStr">
        <is>
          <t>شركة مياه اليرموك</t>
        </is>
      </c>
      <c r="B342" s="10" t="inlineStr">
        <is>
          <t xml:space="preserve">شركة مياه اليرموك-عداد مياه مجمع الأغوار-مشروع تاهيل شبكة اربد </t>
        </is>
      </c>
      <c r="C342" s="24" t="e">
        <v>#N/A</v>
      </c>
      <c r="D342" s="11" t="n"/>
      <c r="E342" s="11" t="n"/>
      <c r="H342" s="20" t="n"/>
      <c r="I342" s="19">
        <f>H342/6000</f>
        <v/>
      </c>
      <c r="J342" s="19">
        <f>IFERROR(VLOOKUP(A342,[2]PIVOT!$A$4:$B$388,2,FALSE),"")</f>
        <v/>
      </c>
      <c r="K342" s="19">
        <f>J342/6000</f>
        <v/>
      </c>
      <c r="L342" s="21">
        <f>H342/J342-1</f>
        <v/>
      </c>
      <c r="M342" s="21">
        <f>VLOOKUP(A342,[1]PIVOT!$B$4:$C$400,2,FALSE)</f>
        <v/>
      </c>
      <c r="N342" s="19" t="n"/>
      <c r="Q342" s="20">
        <f>LEN(F342)</f>
        <v/>
      </c>
      <c r="W342" s="20">
        <f>LEN(G342)</f>
        <v/>
      </c>
    </row>
    <row r="343" ht="27" customHeight="1">
      <c r="A343" s="9" t="inlineStr">
        <is>
          <t>شركة مياه اليرموك  (ذ.م.م)</t>
        </is>
      </c>
      <c r="B343" s="10" t="inlineStr">
        <is>
          <t>شركة مياه اليرموك- مديرية مياه بني كنانة</t>
        </is>
      </c>
      <c r="C343" s="24" t="e">
        <v>#N/A</v>
      </c>
      <c r="D343" s="12" t="inlineStr">
        <is>
          <t>35.83818</t>
        </is>
      </c>
      <c r="E343" s="12" t="inlineStr">
        <is>
          <t>32.635209</t>
        </is>
      </c>
      <c r="H343" s="20">
        <f>IFERROR(VLOOKUP(A343,[1]PIVOT!$B$4:$E$391,3,FALSE),"")</f>
        <v/>
      </c>
      <c r="I343" s="19">
        <f>H343/6000</f>
        <v/>
      </c>
      <c r="J343" s="19">
        <f>IFERROR(VLOOKUP(A343,[2]PIVOT!$A$4:$B$388,2,FALSE),"")</f>
        <v/>
      </c>
      <c r="K343" s="19">
        <f>J343/6000</f>
        <v/>
      </c>
      <c r="L343" s="21">
        <f>H343/J343-1</f>
        <v/>
      </c>
      <c r="M343" s="21">
        <f>VLOOKUP(A343,[1]PIVOT!$B$4:$C$400,2,FALSE)</f>
        <v/>
      </c>
      <c r="N343" s="19" t="n"/>
      <c r="Q343" s="20">
        <f>LEN(F343)</f>
        <v/>
      </c>
      <c r="W343" s="20">
        <f>LEN(G343)</f>
        <v/>
      </c>
    </row>
    <row r="344" ht="27" customHeight="1">
      <c r="A344" s="9" t="inlineStr">
        <is>
          <t>شركة مياه اليرموك/ المعالجة</t>
        </is>
      </c>
      <c r="B344" s="10" t="inlineStr">
        <is>
          <t>محطة ضخ مياه سد كفرنجة PS1 /+ المعالجة</t>
        </is>
      </c>
      <c r="C344" s="30" t="inlineStr">
        <is>
          <t>Kufranja Booster 1 , Kufranja WTP</t>
        </is>
      </c>
      <c r="D344" s="11" t="inlineStr">
        <is>
          <t>35.64335384</t>
        </is>
      </c>
      <c r="E344" s="11" t="inlineStr">
        <is>
          <t>32.26589608</t>
        </is>
      </c>
      <c r="F344" s="20" t="n"/>
      <c r="G344" s="20" t="n"/>
      <c r="H344" s="20">
        <f>IFERROR(VLOOKUP(A344,[1]PIVOT!$B$4:$E$391,3,FALSE),"")</f>
        <v/>
      </c>
      <c r="I344" s="19">
        <f>H344/6000</f>
        <v/>
      </c>
      <c r="J344" s="19">
        <f>IFERROR(VLOOKUP(A344,[2]PIVOT!$A$4:$B$388,2,FALSE),"")</f>
        <v/>
      </c>
      <c r="K344" s="19">
        <f>J344/6000</f>
        <v/>
      </c>
      <c r="L344" s="21">
        <f>H344/J344-1</f>
        <v/>
      </c>
      <c r="M344" s="21">
        <f>VLOOKUP(A344,[1]PIVOT!$B$4:$C$400,2,FALSE)</f>
        <v/>
      </c>
      <c r="N344" s="19" t="n"/>
      <c r="Q344" s="20">
        <f>LEN(F344)</f>
        <v/>
      </c>
      <c r="W344" s="20">
        <f>LEN(G344)</f>
        <v/>
      </c>
    </row>
    <row r="345" ht="27" customHeight="1">
      <c r="A345" s="9" t="inlineStr">
        <is>
          <t>شركة مياه اليرموك/محطة ضخ2</t>
        </is>
      </c>
      <c r="B345" s="10" t="inlineStr">
        <is>
          <t xml:space="preserve">محطة ضخ مياه سد كفرنجة PS2 </t>
        </is>
      </c>
      <c r="C345" s="23" t="inlineStr">
        <is>
          <t>Kufranja Booster 2</t>
        </is>
      </c>
      <c r="D345" s="11" t="inlineStr">
        <is>
          <t>35.6625</t>
        </is>
      </c>
      <c r="E345" s="11" t="inlineStr">
        <is>
          <t>32.2647</t>
        </is>
      </c>
      <c r="H345" s="20">
        <f>IFERROR(VLOOKUP(A345,[1]PIVOT!$B$4:$E$391,3,FALSE),"")</f>
        <v/>
      </c>
      <c r="I345" s="19">
        <f>H345/6000</f>
        <v/>
      </c>
      <c r="J345" s="19">
        <f>IFERROR(VLOOKUP(A345,[2]PIVOT!$A$4:$B$388,2,FALSE),"")</f>
        <v/>
      </c>
      <c r="K345" s="19">
        <f>J345/6000</f>
        <v/>
      </c>
      <c r="L345" s="21">
        <f>H345/J345-1</f>
        <v/>
      </c>
      <c r="M345" s="21">
        <f>VLOOKUP(A345,[1]PIVOT!$B$4:$C$400,2,FALSE)</f>
        <v/>
      </c>
      <c r="N345" s="19" t="n"/>
      <c r="Q345" s="20">
        <f>LEN(F345)</f>
        <v/>
      </c>
      <c r="W345" s="20">
        <f>LEN(G345)</f>
        <v/>
      </c>
    </row>
    <row r="346" ht="27" customHeight="1">
      <c r="A346" s="9" t="inlineStr">
        <is>
          <t>شركة مياه اليرموك/محطة ضخ3</t>
        </is>
      </c>
      <c r="B346" s="10" t="inlineStr">
        <is>
          <t xml:space="preserve">محطة ضخ مياه سد كفرنجة PS3 </t>
        </is>
      </c>
      <c r="C346" s="23" t="inlineStr">
        <is>
          <t>Kufranja Booster 3</t>
        </is>
      </c>
      <c r="D346" s="12" t="inlineStr">
        <is>
          <t>35.683856</t>
        </is>
      </c>
      <c r="E346" s="12" t="inlineStr">
        <is>
          <t>32.295473</t>
        </is>
      </c>
      <c r="F346" s="20" t="n"/>
      <c r="G346" s="20" t="n"/>
      <c r="H346" s="20">
        <f>IFERROR(VLOOKUP(A346,[1]PIVOT!$B$4:$E$391,3,FALSE),"")</f>
        <v/>
      </c>
      <c r="I346" s="19">
        <f>H346/6000</f>
        <v/>
      </c>
      <c r="J346" s="19">
        <f>IFERROR(VLOOKUP(A346,[2]PIVOT!$A$4:$B$388,2,FALSE),"")</f>
        <v/>
      </c>
      <c r="K346" s="19">
        <f>J346/6000</f>
        <v/>
      </c>
      <c r="L346" s="21">
        <f>H346/J346-1</f>
        <v/>
      </c>
      <c r="M346" s="21">
        <f>VLOOKUP(A346,[1]PIVOT!$B$4:$C$400,2,FALSE)</f>
        <v/>
      </c>
      <c r="N346" s="19" t="n"/>
      <c r="Q346" s="20">
        <f>LEN(F346)</f>
        <v/>
      </c>
      <c r="W346" s="20">
        <f>LEN(G346)</f>
        <v/>
      </c>
    </row>
    <row r="347" ht="27" customHeight="1">
      <c r="A347" s="9" t="inlineStr">
        <is>
          <t>شركة مياه اليرموك656 وارد1389</t>
        </is>
      </c>
      <c r="B347" s="10" t="inlineStr">
        <is>
          <t>شركة مياه اليرموك- مديرية مياه بني كنانة- مبنى الحركة</t>
        </is>
      </c>
      <c r="C347" s="24" t="e">
        <v>#N/A</v>
      </c>
      <c r="D347" s="11" t="inlineStr">
        <is>
          <t>35.83379196</t>
        </is>
      </c>
      <c r="E347" s="11" t="inlineStr">
        <is>
          <t>32.63935536</t>
        </is>
      </c>
      <c r="H347" s="20">
        <f>IFERROR(VLOOKUP(A347,[1]PIVOT!$B$4:$E$391,3,FALSE),"")</f>
        <v/>
      </c>
      <c r="I347" s="19">
        <f>H347/6000</f>
        <v/>
      </c>
      <c r="J347" s="19">
        <f>IFERROR(VLOOKUP(A347,[2]PIVOT!$A$4:$B$388,2,FALSE),"")</f>
        <v/>
      </c>
      <c r="K347" s="19">
        <f>J347/6000</f>
        <v/>
      </c>
      <c r="L347" s="21">
        <f>H347/J347-1</f>
        <v/>
      </c>
      <c r="M347" s="21">
        <f>VLOOKUP(A347,[1]PIVOT!$B$4:$C$400,2,FALSE)</f>
        <v/>
      </c>
      <c r="N347" s="19" t="n"/>
      <c r="Q347" s="20">
        <f>LEN(F347)</f>
        <v/>
      </c>
      <c r="W347" s="20">
        <f>LEN(G347)</f>
        <v/>
      </c>
    </row>
    <row r="348" ht="27" customHeight="1">
      <c r="A348" s="9" t="inlineStr">
        <is>
          <t>كهربة بئر سد الوحدة</t>
        </is>
      </c>
      <c r="B348" s="10" t="inlineStr">
        <is>
          <t>بئر سد الوحدة (1)</t>
        </is>
      </c>
      <c r="C348" s="23" t="inlineStr">
        <is>
          <t>Wehdeh Dam Well &amp; PS</t>
        </is>
      </c>
      <c r="D348" s="12" t="inlineStr">
        <is>
          <t>35.862089</t>
        </is>
      </c>
      <c r="E348" s="12" t="inlineStr">
        <is>
          <t>32.731478</t>
        </is>
      </c>
      <c r="F348" s="20" t="n"/>
      <c r="G348" s="20" t="n"/>
      <c r="H348" s="20">
        <f>IFERROR(VLOOKUP(A348,[1]PIVOT!$B$4:$E$391,3,FALSE),"")</f>
        <v/>
      </c>
      <c r="I348" s="19">
        <f>H348/6000</f>
        <v/>
      </c>
      <c r="J348" s="19">
        <f>IFERROR(VLOOKUP(A348,[2]PIVOT!$A$4:$B$388,2,FALSE),"")</f>
        <v/>
      </c>
      <c r="K348" s="19">
        <f>J348/6000</f>
        <v/>
      </c>
      <c r="L348" s="21">
        <f>H348/J348-1</f>
        <v/>
      </c>
      <c r="M348" s="21">
        <f>VLOOKUP(A348,[1]PIVOT!$B$4:$C$400,2,FALSE)</f>
        <v/>
      </c>
      <c r="N348" s="19" t="n"/>
      <c r="Q348" s="20">
        <f>LEN(F348)</f>
        <v/>
      </c>
      <c r="W348" s="20">
        <f>LEN(G348)</f>
        <v/>
      </c>
    </row>
    <row r="349" ht="27" customHeight="1">
      <c r="A349" s="9" t="inlineStr">
        <is>
          <t>كهربة محطة رفع سد الوحدة</t>
        </is>
      </c>
      <c r="B349" s="10" t="inlineStr">
        <is>
          <t>محطة تحليه وضخ مياه سد الوحدة//PS2</t>
        </is>
      </c>
      <c r="C349" s="23" t="inlineStr">
        <is>
          <t>Wehdeh Dam WTP</t>
        </is>
      </c>
      <c r="D349" s="11" t="inlineStr">
        <is>
          <t>35.8752</t>
        </is>
      </c>
      <c r="E349" s="11" t="inlineStr">
        <is>
          <t>32.7289</t>
        </is>
      </c>
      <c r="F349" s="20" t="n"/>
      <c r="G349" s="20" t="n"/>
      <c r="H349" s="20">
        <f>IFERROR(VLOOKUP(A349,[1]PIVOT!$B$4:$E$391,3,FALSE),"")</f>
        <v/>
      </c>
      <c r="I349" s="19">
        <f>H349/6000</f>
        <v/>
      </c>
      <c r="J349" s="19">
        <f>IFERROR(VLOOKUP(A349,[2]PIVOT!$A$4:$B$388,2,FALSE),"")</f>
        <v/>
      </c>
      <c r="K349" s="19">
        <f>J349/6000</f>
        <v/>
      </c>
      <c r="L349" s="21">
        <f>H349/J349-1</f>
        <v/>
      </c>
      <c r="M349" s="21">
        <f>VLOOKUP(A349,[1]PIVOT!$B$4:$C$400,2,FALSE)</f>
        <v/>
      </c>
      <c r="N349" s="19" t="n"/>
      <c r="Q349" s="20">
        <f>LEN(F349)</f>
        <v/>
      </c>
      <c r="W349" s="20">
        <f>LEN(G349)</f>
        <v/>
      </c>
    </row>
    <row r="350" ht="27" customHeight="1">
      <c r="A350" s="9" t="inlineStr">
        <is>
          <t>مبنى قطاع الشمال</t>
        </is>
      </c>
      <c r="B350" s="10" t="inlineStr">
        <is>
          <t>شركة مياه اليرموك- الادارة العامة- اشتراك (4)</t>
        </is>
      </c>
      <c r="C350" s="23" t="inlineStr">
        <is>
          <t>YWC HQ Office</t>
        </is>
      </c>
      <c r="D350" s="11" t="inlineStr">
        <is>
          <t>35.8587</t>
        </is>
      </c>
      <c r="E350" s="11" t="inlineStr">
        <is>
          <t>32.5523</t>
        </is>
      </c>
      <c r="H350" s="20">
        <f>IFERROR(VLOOKUP(A350,[1]PIVOT!$B$4:$E$391,3,FALSE),"")</f>
        <v/>
      </c>
      <c r="I350" s="19">
        <f>H350/6000</f>
        <v/>
      </c>
      <c r="J350" s="19">
        <f>IFERROR(VLOOKUP(A350,[2]PIVOT!$A$4:$B$388,2,FALSE),"")</f>
        <v/>
      </c>
      <c r="K350" s="19">
        <f>J350/6000</f>
        <v/>
      </c>
      <c r="L350" s="21">
        <f>H350/J350-1</f>
        <v/>
      </c>
      <c r="M350" s="21">
        <f>VLOOKUP(A350,[1]PIVOT!$B$4:$C$400,2,FALSE)</f>
        <v/>
      </c>
      <c r="N350" s="19" t="n"/>
      <c r="Q350" s="20">
        <f>LEN(F350)</f>
        <v/>
      </c>
      <c r="W350" s="20">
        <f>LEN(G350)</f>
        <v/>
      </c>
    </row>
    <row r="351" ht="27" customHeight="1">
      <c r="A351" s="9" t="inlineStr">
        <is>
          <t>محطة تحلية مشتل فيصل</t>
        </is>
      </c>
      <c r="B351" s="10" t="inlineStr">
        <is>
          <t>محطة تحلية وضخ مشتل فيصل+ بئر (6)</t>
        </is>
      </c>
      <c r="C351" s="23" t="inlineStr">
        <is>
          <t>Mashtal Faysal PS</t>
        </is>
      </c>
      <c r="D351" s="12" t="inlineStr">
        <is>
          <t>35.889704</t>
        </is>
      </c>
      <c r="E351" s="12" t="inlineStr">
        <is>
          <t>32.216578</t>
        </is>
      </c>
      <c r="F351" s="20" t="n"/>
      <c r="G351" s="20" t="n"/>
      <c r="H351" s="20">
        <f>IFERROR(VLOOKUP(A351,[1]PIVOT!$B$4:$E$391,3,FALSE),"")</f>
        <v/>
      </c>
      <c r="I351" s="19">
        <f>H351/6000</f>
        <v/>
      </c>
      <c r="J351" s="19">
        <f>IFERROR(VLOOKUP(A351,[2]PIVOT!$A$4:$B$388,2,FALSE),"")</f>
        <v/>
      </c>
      <c r="K351" s="19">
        <f>J351/6000</f>
        <v/>
      </c>
      <c r="L351" s="21">
        <f>H351/J351-1</f>
        <v/>
      </c>
      <c r="M351" s="21">
        <f>VLOOKUP(A351,[1]PIVOT!$B$4:$C$400,2,FALSE)</f>
        <v/>
      </c>
      <c r="N351" s="19" t="n"/>
      <c r="Q351" s="20">
        <f>LEN(F351)</f>
        <v/>
      </c>
      <c r="W351" s="20">
        <f>LEN(G351)</f>
        <v/>
      </c>
    </row>
    <row r="352" ht="27" customHeight="1">
      <c r="A352" s="9" t="inlineStr">
        <is>
          <t>محطة تنقية الاكيدر</t>
        </is>
      </c>
      <c r="B352" s="10" t="inlineStr">
        <is>
          <t>محطة تنقية صرف صحي الاكيدر</t>
        </is>
      </c>
      <c r="C352" s="23" t="inlineStr">
        <is>
          <t>Al Akaydir WWTP</t>
        </is>
      </c>
      <c r="D352" s="12" t="inlineStr">
        <is>
          <t>36.121455</t>
        </is>
      </c>
      <c r="E352" s="12" t="inlineStr">
        <is>
          <t>32.512265</t>
        </is>
      </c>
      <c r="H352" s="20">
        <f>IFERROR(VLOOKUP(A352,[1]PIVOT!$B$4:$E$391,3,FALSE),"")</f>
        <v/>
      </c>
      <c r="I352" s="19">
        <f>H352/6000</f>
        <v/>
      </c>
      <c r="J352" s="19">
        <f>IFERROR(VLOOKUP(A352,[2]PIVOT!$A$4:$B$388,2,FALSE),"")</f>
        <v/>
      </c>
      <c r="K352" s="19">
        <f>J352/6000</f>
        <v/>
      </c>
      <c r="L352" s="21">
        <f>H352/J352-1</f>
        <v/>
      </c>
      <c r="M352" s="21">
        <f>VLOOKUP(A352,[1]PIVOT!$B$4:$C$400,2,FALSE)</f>
        <v/>
      </c>
      <c r="N352" s="19" t="n"/>
      <c r="Q352" s="20">
        <f>LEN(F352)</f>
        <v/>
      </c>
      <c r="W352" s="20">
        <f>LEN(G352)</f>
        <v/>
      </c>
    </row>
    <row r="353" ht="27" customHeight="1">
      <c r="A353" s="9" t="inlineStr">
        <is>
          <t>محطة تنقية المعراض/سلطة المياة</t>
        </is>
      </c>
      <c r="B353" s="10" t="inlineStr">
        <is>
          <t>محطة تنقية صرف صحي المعراض</t>
        </is>
      </c>
      <c r="C353" s="23" t="inlineStr">
        <is>
          <t>Alme'rad WWTP</t>
        </is>
      </c>
      <c r="D353" s="11" t="inlineStr">
        <is>
          <t>35.87715633</t>
        </is>
      </c>
      <c r="E353" s="11" t="inlineStr">
        <is>
          <t>32.25134912</t>
        </is>
      </c>
      <c r="F353" s="20" t="n"/>
      <c r="G353" s="20" t="n"/>
      <c r="H353" s="20">
        <f>IFERROR(VLOOKUP(A353,[1]PIVOT!$B$4:$E$391,3,FALSE),"")</f>
        <v/>
      </c>
      <c r="I353" s="19">
        <f>H353/6000</f>
        <v/>
      </c>
      <c r="J353" s="19">
        <f>IFERROR(VLOOKUP(A353,[2]PIVOT!$A$4:$B$388,2,FALSE),"")</f>
        <v/>
      </c>
      <c r="K353" s="19">
        <f>J353/6000</f>
        <v/>
      </c>
      <c r="L353" s="21">
        <f>H353/J353-1</f>
        <v/>
      </c>
      <c r="M353" s="21">
        <f>VLOOKUP(A353,[1]PIVOT!$B$4:$C$400,2,FALSE)</f>
        <v/>
      </c>
      <c r="N353" s="19" t="n"/>
      <c r="Q353" s="20">
        <f>LEN(F353)</f>
        <v/>
      </c>
      <c r="W353" s="20">
        <f>LEN(G353)</f>
        <v/>
      </c>
    </row>
    <row r="354" ht="27" customHeight="1">
      <c r="A354" s="9" t="inlineStr">
        <is>
          <t>محطة تنقية المفرق</t>
        </is>
      </c>
      <c r="B354" s="10" t="inlineStr">
        <is>
          <t>محطة تنقية صرف صحي المفرق</t>
        </is>
      </c>
      <c r="C354" s="23" t="inlineStr">
        <is>
          <t>Mafraq WWTP</t>
        </is>
      </c>
      <c r="D354" s="12" t="inlineStr">
        <is>
          <t>36.227502</t>
        </is>
      </c>
      <c r="E354" s="12" t="inlineStr">
        <is>
          <t>32.39879</t>
        </is>
      </c>
      <c r="F354" s="20" t="n"/>
      <c r="G354" s="20" t="n"/>
      <c r="H354" s="20">
        <f>IFERROR(VLOOKUP(A354,[1]PIVOT!$B$4:$E$391,3,FALSE),"")</f>
        <v/>
      </c>
      <c r="I354" s="19">
        <f>H354/6000</f>
        <v/>
      </c>
      <c r="J354" s="19">
        <f>IFERROR(VLOOKUP(A354,[2]PIVOT!$A$4:$B$388,2,FALSE),"")</f>
        <v/>
      </c>
      <c r="K354" s="19">
        <f>J354/6000</f>
        <v/>
      </c>
      <c r="L354" s="21">
        <f>H354/J354-1</f>
        <v/>
      </c>
      <c r="M354" s="21">
        <f>VLOOKUP(A354,[1]PIVOT!$B$4:$C$400,2,FALSE)</f>
        <v/>
      </c>
      <c r="N354" s="19" t="n"/>
      <c r="Q354" s="20">
        <f>LEN(F354)</f>
        <v/>
      </c>
      <c r="W354" s="20">
        <f>LEN(G354)</f>
        <v/>
      </c>
    </row>
    <row r="355" ht="27" customHeight="1">
      <c r="A355" s="9" t="inlineStr">
        <is>
          <t>محطة تنقية المفرق</t>
        </is>
      </c>
      <c r="B355" s="10" t="inlineStr">
        <is>
          <t>محطة رفع صرف صحي المفرق</t>
        </is>
      </c>
      <c r="C355" s="23" t="inlineStr">
        <is>
          <t>Mafraq LS</t>
        </is>
      </c>
      <c r="D355" s="11" t="inlineStr">
        <is>
          <t>36.2306</t>
        </is>
      </c>
      <c r="E355" s="11" t="inlineStr">
        <is>
          <t>32.3201</t>
        </is>
      </c>
      <c r="F355" s="20" t="n"/>
      <c r="G355" s="20" t="n"/>
      <c r="H355" s="20" t="n"/>
      <c r="I355" s="19">
        <f>H355/6000</f>
        <v/>
      </c>
      <c r="J355" s="19">
        <f>IFERROR(VLOOKUP(A355,[2]PIVOT!$A$4:$B$388,2,FALSE),"")</f>
        <v/>
      </c>
      <c r="K355" s="19">
        <f>J355/6000</f>
        <v/>
      </c>
      <c r="L355" s="21">
        <f>H355/J355-1</f>
        <v/>
      </c>
      <c r="M355" s="21">
        <f>VLOOKUP(A355,[1]PIVOT!$B$4:$C$400,2,FALSE)</f>
        <v/>
      </c>
      <c r="N355" s="19" t="n"/>
      <c r="Q355" s="20">
        <f>LEN(F355)</f>
        <v/>
      </c>
      <c r="W355" s="20">
        <f>LEN(G355)</f>
        <v/>
      </c>
    </row>
    <row r="356" ht="27" customHeight="1">
      <c r="A356" s="9" t="inlineStr">
        <is>
          <t>محطة تنقية شرق جرش</t>
        </is>
      </c>
      <c r="B356" s="10" t="inlineStr">
        <is>
          <t>محطة تنقية صرف صحي شرق جرش- اشتراك (2)</t>
        </is>
      </c>
      <c r="C356" s="23" t="inlineStr">
        <is>
          <t>Jerash WWTP</t>
        </is>
      </c>
      <c r="D356" s="12" t="inlineStr">
        <is>
          <t>35.895002</t>
        </is>
      </c>
      <c r="E356" s="12" t="inlineStr">
        <is>
          <t>32.266349</t>
        </is>
      </c>
      <c r="F356" s="20" t="n"/>
      <c r="G356" s="20" t="n"/>
      <c r="H356" s="20">
        <f>IFERROR(VLOOKUP(A356,[1]PIVOT!$B$4:$E$391,3,FALSE),"")</f>
        <v/>
      </c>
      <c r="I356" s="19">
        <f>H356/6000</f>
        <v/>
      </c>
      <c r="J356" s="19">
        <f>IFERROR(VLOOKUP(A356,[2]PIVOT!$A$4:$B$388,2,FALSE),"")</f>
        <v/>
      </c>
      <c r="K356" s="19">
        <f>J356/6000</f>
        <v/>
      </c>
      <c r="L356" s="21">
        <f>H356/J356-1</f>
        <v/>
      </c>
      <c r="M356" s="21">
        <f>VLOOKUP(A356,[1]PIVOT!$B$4:$C$400,2,FALSE)</f>
        <v/>
      </c>
      <c r="N356" s="19" t="n"/>
      <c r="Q356" s="20">
        <f>LEN(F356)</f>
        <v/>
      </c>
      <c r="W356" s="20">
        <f>LEN(G356)</f>
        <v/>
      </c>
    </row>
    <row r="357" ht="27" customHeight="1">
      <c r="A357" s="9" t="inlineStr">
        <is>
          <t>محطة رفع سال</t>
        </is>
      </c>
      <c r="B357" s="10" t="inlineStr">
        <is>
          <t>محطة رفع صرف صحي سال</t>
        </is>
      </c>
      <c r="C357" s="23" t="inlineStr">
        <is>
          <t>Sal LS</t>
        </is>
      </c>
      <c r="D357" s="11" t="inlineStr">
        <is>
          <t>35.9128</t>
        </is>
      </c>
      <c r="E357" s="11" t="inlineStr">
        <is>
          <t>32.5891</t>
        </is>
      </c>
      <c r="H357" s="20">
        <f>IFERROR(VLOOKUP(A357,[1]PIVOT!$B$4:$E$391,3,FALSE),"")</f>
        <v/>
      </c>
      <c r="I357" s="19">
        <f>H357/6000</f>
        <v/>
      </c>
      <c r="J357" s="19">
        <f>IFERROR(VLOOKUP(A357,[2]PIVOT!$A$4:$B$388,2,FALSE),"")</f>
        <v/>
      </c>
      <c r="K357" s="19">
        <f>J357/6000</f>
        <v/>
      </c>
      <c r="L357" s="21">
        <f>H357/J357-1</f>
        <v/>
      </c>
      <c r="M357" s="21">
        <f>VLOOKUP(A357,[1]PIVOT!$B$4:$C$400,2,FALSE)</f>
        <v/>
      </c>
      <c r="N357" s="19" t="n"/>
      <c r="Q357" s="20">
        <f>LEN(F357)</f>
        <v/>
      </c>
      <c r="W357" s="20">
        <f>LEN(G357)</f>
        <v/>
      </c>
    </row>
    <row r="358" ht="27" customHeight="1">
      <c r="A358" s="9" t="inlineStr">
        <is>
          <t>محطة رفع صحي بشرى</t>
        </is>
      </c>
      <c r="B358" s="10" t="inlineStr">
        <is>
          <t>محطة رفع صرف صحي بشرى</t>
        </is>
      </c>
      <c r="C358" s="23" t="inlineStr">
        <is>
          <t>Bushra LS</t>
        </is>
      </c>
      <c r="D358" s="12" t="inlineStr">
        <is>
          <t>35.903622</t>
        </is>
      </c>
      <c r="E358" s="12" t="inlineStr">
        <is>
          <t>32.545141</t>
        </is>
      </c>
      <c r="H358" s="20">
        <f>IFERROR(VLOOKUP(A358,[1]PIVOT!$B$4:$E$391,3,FALSE),"")</f>
        <v/>
      </c>
      <c r="I358" s="19">
        <f>H358/6000</f>
        <v/>
      </c>
      <c r="J358" s="19">
        <f>IFERROR(VLOOKUP(A358,[2]PIVOT!$A$4:$B$388,2,FALSE),"")</f>
        <v/>
      </c>
      <c r="K358" s="19">
        <f>J358/6000</f>
        <v/>
      </c>
      <c r="L358" s="21">
        <f>H358/J358-1</f>
        <v/>
      </c>
      <c r="M358" s="21">
        <f>VLOOKUP(A358,[1]PIVOT!$B$4:$C$400,2,FALSE)</f>
        <v/>
      </c>
      <c r="N358" s="19" t="n"/>
      <c r="Q358" s="20">
        <f>LEN(F358)</f>
        <v/>
      </c>
      <c r="W358" s="20">
        <f>LEN(G358)</f>
        <v/>
      </c>
    </row>
    <row r="359" ht="27" customHeight="1">
      <c r="A359" s="9" t="inlineStr">
        <is>
          <t>محطة رفع عين الديك/سلطة المياة</t>
        </is>
      </c>
      <c r="B359" s="10" t="inlineStr">
        <is>
          <t xml:space="preserve">محطة رفع صرف صحي عين الديك </t>
        </is>
      </c>
      <c r="C359" s="23" t="inlineStr">
        <is>
          <t>Ain Al Deek LS</t>
        </is>
      </c>
      <c r="D359" s="11" t="inlineStr">
        <is>
          <t>35.8508</t>
        </is>
      </c>
      <c r="E359" s="11" t="inlineStr">
        <is>
          <t>32.2631</t>
        </is>
      </c>
      <c r="H359" s="20">
        <f>IFERROR(VLOOKUP(A359,[1]PIVOT!$B$4:$E$391,3,FALSE),"")</f>
        <v/>
      </c>
      <c r="I359" s="19">
        <f>H359/6000</f>
        <v/>
      </c>
      <c r="J359" s="19">
        <f>IFERROR(VLOOKUP(A359,[2]PIVOT!$A$4:$B$388,2,FALSE),"")</f>
        <v/>
      </c>
      <c r="K359" s="19">
        <f>J359/6000</f>
        <v/>
      </c>
      <c r="L359" s="21">
        <f>H359/J359-1</f>
        <v/>
      </c>
      <c r="M359" s="21">
        <f>VLOOKUP(A359,[1]PIVOT!$B$4:$C$400,2,FALSE)</f>
        <v/>
      </c>
      <c r="N359" s="19" t="n"/>
      <c r="Q359" s="20">
        <f>LEN(F359)</f>
        <v/>
      </c>
      <c r="W359" s="20">
        <f>LEN(G359)</f>
        <v/>
      </c>
    </row>
    <row r="360" ht="27" customHeight="1">
      <c r="A360" s="9" t="inlineStr">
        <is>
          <t>محطة رفع كفرنجه</t>
        </is>
      </c>
      <c r="B360" s="10" t="inlineStr">
        <is>
          <t>محطة رفع صرف صحي كفرنجه</t>
        </is>
      </c>
      <c r="C360" s="23" t="inlineStr">
        <is>
          <t>kofranja LS</t>
        </is>
      </c>
      <c r="D360" s="11" t="inlineStr">
        <is>
          <t>35.69379475</t>
        </is>
      </c>
      <c r="E360" s="11" t="inlineStr">
        <is>
          <t>32.28894646</t>
        </is>
      </c>
      <c r="H360" s="20">
        <f>IFERROR(VLOOKUP(A360,[1]PIVOT!$B$4:$E$391,3,FALSE),"")</f>
        <v/>
      </c>
      <c r="I360" s="19">
        <f>H360/6000</f>
        <v/>
      </c>
      <c r="J360" s="19">
        <f>IFERROR(VLOOKUP(A360,[2]PIVOT!$A$4:$B$388,2,FALSE),"")</f>
        <v/>
      </c>
      <c r="K360" s="19">
        <f>J360/6000</f>
        <v/>
      </c>
      <c r="L360" s="21">
        <f>H360/J360-1</f>
        <v/>
      </c>
      <c r="M360" s="21">
        <f>VLOOKUP(A360,[1]PIVOT!$B$4:$C$400,2,FALSE)</f>
        <v/>
      </c>
      <c r="N360" s="19" t="n"/>
      <c r="Q360" s="20">
        <f>LEN(F360)</f>
        <v/>
      </c>
      <c r="W360" s="20">
        <f>LEN(G360)</f>
        <v/>
      </c>
    </row>
    <row r="361" ht="27" customHeight="1">
      <c r="A361" s="9" t="inlineStr">
        <is>
          <t>محطة رفع منشية بني حسن</t>
        </is>
      </c>
      <c r="B361" s="10" t="inlineStr">
        <is>
          <t>محطة رفع صرف صحي منشية بني حسن</t>
        </is>
      </c>
      <c r="C361" s="23" t="inlineStr">
        <is>
          <t>Manshyyah LS</t>
        </is>
      </c>
      <c r="D361" s="12" t="inlineStr">
        <is>
          <t>36.119047</t>
        </is>
      </c>
      <c r="E361" s="12" t="inlineStr">
        <is>
          <t>32.367995</t>
        </is>
      </c>
      <c r="H361" s="20">
        <f>IFERROR(VLOOKUP(A361,[1]PIVOT!$B$4:$E$391,3,FALSE),"")</f>
        <v/>
      </c>
      <c r="I361" s="19">
        <f>H361/6000</f>
        <v/>
      </c>
      <c r="J361" s="19">
        <f>IFERROR(VLOOKUP(A361,[2]PIVOT!$A$4:$B$388,2,FALSE),"")</f>
        <v/>
      </c>
      <c r="K361" s="19">
        <f>J361/6000</f>
        <v/>
      </c>
      <c r="L361" s="21">
        <f>H361/J361-1</f>
        <v/>
      </c>
      <c r="M361" s="21">
        <f>VLOOKUP(A361,[1]PIVOT!$B$4:$C$400,2,FALSE)</f>
        <v/>
      </c>
      <c r="N361" s="19" t="n"/>
      <c r="Q361" s="20">
        <f>LEN(F361)</f>
        <v/>
      </c>
      <c r="W361" s="20">
        <f>LEN(G361)</f>
        <v/>
      </c>
    </row>
    <row r="362" ht="27" customHeight="1">
      <c r="A362" s="9" t="inlineStr">
        <is>
          <t>محطة صرف صحي دوقره</t>
        </is>
      </c>
      <c r="B362" s="10" t="inlineStr">
        <is>
          <t>محطة رفع صرف صحي دوقرا</t>
        </is>
      </c>
      <c r="C362" s="23" t="inlineStr">
        <is>
          <t>Dougara LS</t>
        </is>
      </c>
      <c r="D362" s="11" t="inlineStr">
        <is>
          <t>35.7369</t>
        </is>
      </c>
      <c r="E362" s="11" t="inlineStr">
        <is>
          <t>32.598</t>
        </is>
      </c>
      <c r="H362" s="20">
        <f>IFERROR(VLOOKUP(A362,[1]PIVOT!$B$4:$E$391,3,FALSE),"")</f>
        <v/>
      </c>
      <c r="I362" s="19">
        <f>H362/6000</f>
        <v/>
      </c>
      <c r="J362" s="19">
        <f>IFERROR(VLOOKUP(A362,[2]PIVOT!$A$4:$B$388,2,FALSE),"")</f>
        <v/>
      </c>
      <c r="K362" s="19">
        <f>J362/6000</f>
        <v/>
      </c>
      <c r="L362" s="21">
        <f>H362/J362-1</f>
        <v/>
      </c>
      <c r="M362" s="21">
        <f>VLOOKUP(A362,[1]PIVOT!$B$4:$C$400,2,FALSE)</f>
        <v/>
      </c>
      <c r="N362" s="19" t="n"/>
      <c r="Q362" s="20">
        <f>LEN(F362)</f>
        <v/>
      </c>
      <c r="W362" s="20">
        <f>LEN(G362)</f>
        <v/>
      </c>
    </row>
    <row r="363" ht="27" customHeight="1">
      <c r="A363" s="9" t="inlineStr">
        <is>
          <t>محطة ضخ باتجاة خزانات جرش</t>
        </is>
      </c>
      <c r="B363" s="10" t="inlineStr">
        <is>
          <t>محطة ضخ مياه بوستر جرش</t>
        </is>
      </c>
      <c r="C363" s="23" t="inlineStr">
        <is>
          <t>Jarash Bosster</t>
        </is>
      </c>
      <c r="D363" s="12" t="inlineStr">
        <is>
          <t>35.89219</t>
        </is>
      </c>
      <c r="E363" s="12" t="inlineStr">
        <is>
          <t>32.248068</t>
        </is>
      </c>
      <c r="F363" s="20" t="n"/>
      <c r="G363" s="20" t="n"/>
      <c r="H363" s="20">
        <f>IFERROR(VLOOKUP(A363,[1]PIVOT!$B$4:$E$391,3,FALSE),"")</f>
        <v/>
      </c>
      <c r="I363" s="19">
        <f>H363/6000</f>
        <v/>
      </c>
      <c r="J363" s="19">
        <f>IFERROR(VLOOKUP(A363,[2]PIVOT!$A$4:$B$388,2,FALSE),"")</f>
        <v/>
      </c>
      <c r="K363" s="19">
        <f>J363/6000</f>
        <v/>
      </c>
      <c r="L363" s="21">
        <f>H363/J363-1</f>
        <v/>
      </c>
      <c r="M363" s="21">
        <f>VLOOKUP(A363,[1]PIVOT!$B$4:$C$400,2,FALSE)</f>
        <v/>
      </c>
      <c r="N363" s="19" t="n"/>
      <c r="Q363" s="20">
        <f>LEN(F363)</f>
        <v/>
      </c>
      <c r="W363" s="20">
        <f>LEN(G363)</f>
        <v/>
      </c>
    </row>
    <row r="364" ht="27" customHeight="1">
      <c r="A364" s="9" t="inlineStr">
        <is>
          <t>محطة ضخ جبة / سلطة المياة</t>
        </is>
      </c>
      <c r="B364" s="10" t="inlineStr">
        <is>
          <t>محطة ضخ مياه جبه</t>
        </is>
      </c>
      <c r="C364" s="23" t="inlineStr">
        <is>
          <t>Juba Booster</t>
        </is>
      </c>
      <c r="D364" s="12" t="inlineStr">
        <is>
          <t>35.897973</t>
        </is>
      </c>
      <c r="E364" s="12" t="inlineStr">
        <is>
          <t>32.189506</t>
        </is>
      </c>
      <c r="H364" s="20">
        <f>IFERROR(VLOOKUP(A364,[1]PIVOT!$B$4:$E$391,3,FALSE),"")</f>
        <v/>
      </c>
      <c r="I364" s="19">
        <f>H364/6000</f>
        <v/>
      </c>
      <c r="J364" s="19">
        <f>IFERROR(VLOOKUP(A364,[2]PIVOT!$A$4:$B$388,2,FALSE),"")</f>
        <v/>
      </c>
      <c r="K364" s="19">
        <f>J364/6000</f>
        <v/>
      </c>
      <c r="L364" s="21">
        <f>H364/J364-1</f>
        <v/>
      </c>
      <c r="M364" s="21">
        <f>VLOOKUP(A364,[1]PIVOT!$B$4:$C$400,2,FALSE)</f>
        <v/>
      </c>
      <c r="N364" s="19" t="n"/>
      <c r="Q364" s="20">
        <f>LEN(F364)</f>
        <v/>
      </c>
      <c r="W364" s="20">
        <f>LEN(G364)</f>
        <v/>
      </c>
    </row>
    <row r="365" ht="27" customHeight="1">
      <c r="A365" s="9" t="inlineStr">
        <is>
          <t>محطة ضخ زبدا</t>
        </is>
      </c>
      <c r="B365" s="10" t="inlineStr">
        <is>
          <t>محطة ضخ مياه زبدا- مبنى الحركة</t>
        </is>
      </c>
      <c r="C365" s="24" t="e">
        <v>#N/A</v>
      </c>
      <c r="D365" s="11" t="inlineStr">
        <is>
          <t>35.8337</t>
        </is>
      </c>
      <c r="E365" s="11" t="inlineStr">
        <is>
          <t>32.5356</t>
        </is>
      </c>
      <c r="H365" s="20">
        <f>IFERROR(VLOOKUP(A365,[1]PIVOT!$B$4:$E$391,3,FALSE),"")</f>
        <v/>
      </c>
      <c r="I365" s="19">
        <f>H365/6000</f>
        <v/>
      </c>
      <c r="J365" s="19">
        <f>IFERROR(VLOOKUP(A365,[2]PIVOT!$A$4:$B$388,2,FALSE),"")</f>
        <v/>
      </c>
      <c r="K365" s="19">
        <f>J365/6000</f>
        <v/>
      </c>
      <c r="L365" s="21">
        <f>H365/J365-1</f>
        <v/>
      </c>
      <c r="M365" s="21">
        <f>VLOOKUP(A365,[1]PIVOT!$B$4:$C$400,2,FALSE)</f>
        <v/>
      </c>
      <c r="N365" s="19" t="n"/>
      <c r="Q365" s="20">
        <f>LEN(F365)</f>
        <v/>
      </c>
      <c r="W365" s="20">
        <f>LEN(G365)</f>
        <v/>
      </c>
    </row>
    <row r="366" ht="27" customHeight="1">
      <c r="A366" s="9" t="inlineStr">
        <is>
          <t>مديرية مياه البادية الشمالية</t>
        </is>
      </c>
      <c r="B366" s="10" t="inlineStr">
        <is>
          <t>شركة مياه اليرموك- مديرية مياه البادية الشمالية</t>
        </is>
      </c>
      <c r="C366" s="23" t="inlineStr">
        <is>
          <t>Al Koura ROU Office</t>
        </is>
      </c>
      <c r="D366" s="12" t="inlineStr">
        <is>
          <t>35.683484</t>
        </is>
      </c>
      <c r="E366" s="12" t="inlineStr">
        <is>
          <t>32.508415</t>
        </is>
      </c>
      <c r="H366" s="20">
        <f>IFERROR(VLOOKUP(A366,[1]PIVOT!$B$4:$E$391,3,FALSE),"")</f>
        <v/>
      </c>
      <c r="I366" s="19">
        <f>H366/6000</f>
        <v/>
      </c>
      <c r="J366" s="19">
        <f>IFERROR(VLOOKUP(A366,[2]PIVOT!$A$4:$B$388,2,FALSE),"")</f>
        <v/>
      </c>
      <c r="K366" s="19">
        <f>J366/6000</f>
        <v/>
      </c>
      <c r="L366" s="21">
        <f>H366/J366-1</f>
        <v/>
      </c>
      <c r="M366" s="21">
        <f>VLOOKUP(A366,[1]PIVOT!$B$4:$C$400,2,FALSE)</f>
        <v/>
      </c>
      <c r="N366" s="19" t="n"/>
      <c r="Q366" s="20">
        <f>LEN(F366)</f>
        <v/>
      </c>
      <c r="W366" s="20">
        <f>LEN(G366)</f>
        <v/>
      </c>
    </row>
    <row r="367" ht="27" customHeight="1">
      <c r="A367" s="9" t="inlineStr">
        <is>
          <t>مديرية مياه لواء الكورة</t>
        </is>
      </c>
      <c r="B367" s="10" t="inlineStr">
        <is>
          <t>شركة مياه اليرموك- مديرية مياه لواء الكورة- اشتراك (1)</t>
        </is>
      </c>
      <c r="C367" s="23" t="inlineStr">
        <is>
          <t>Al Koura ROU Office</t>
        </is>
      </c>
      <c r="D367" s="12" t="inlineStr">
        <is>
          <t>35.683484</t>
        </is>
      </c>
      <c r="E367" s="12" t="inlineStr">
        <is>
          <t>32.508415</t>
        </is>
      </c>
      <c r="H367" s="20">
        <f>IFERROR(VLOOKUP(A367,[1]PIVOT!$B$4:$E$391,3,FALSE),"")</f>
        <v/>
      </c>
      <c r="I367" s="19">
        <f>H367/6000</f>
        <v/>
      </c>
      <c r="J367" s="19">
        <f>IFERROR(VLOOKUP(A367,[2]PIVOT!$A$4:$B$388,2,FALSE),"")</f>
        <v/>
      </c>
      <c r="K367" s="19">
        <f>J367/6000</f>
        <v/>
      </c>
      <c r="L367" s="21">
        <f>H367/J367-1</f>
        <v/>
      </c>
      <c r="M367" s="21">
        <f>VLOOKUP(A367,[1]PIVOT!$B$4:$C$400,2,FALSE)</f>
        <v/>
      </c>
      <c r="N367" s="19" t="n"/>
      <c r="Q367" s="20">
        <f>LEN(F367)</f>
        <v/>
      </c>
      <c r="W367" s="20">
        <f>LEN(G367)</f>
        <v/>
      </c>
    </row>
    <row r="368" ht="27" customHeight="1">
      <c r="A368" s="9" t="inlineStr">
        <is>
          <t>مديرية مياه لواء الكورة</t>
        </is>
      </c>
      <c r="B368" s="10" t="inlineStr">
        <is>
          <t>شركة مياه اليرموك- مديرية مياه لواء الكورة- اشتراك (2)</t>
        </is>
      </c>
      <c r="C368" s="23" t="inlineStr">
        <is>
          <t>Al Koura ROU Office</t>
        </is>
      </c>
      <c r="D368" s="12" t="inlineStr">
        <is>
          <t>35.683484</t>
        </is>
      </c>
      <c r="E368" s="12" t="inlineStr">
        <is>
          <t>32.508415</t>
        </is>
      </c>
      <c r="H368" s="20" t="n"/>
      <c r="I368" s="19">
        <f>H368/6000</f>
        <v/>
      </c>
      <c r="J368" s="19">
        <f>IFERROR(VLOOKUP(A368,[2]PIVOT!$A$4:$B$388,2,FALSE),"")</f>
        <v/>
      </c>
      <c r="K368" s="19">
        <f>J368/6000</f>
        <v/>
      </c>
      <c r="L368" s="21">
        <f>H368/J368-1</f>
        <v/>
      </c>
      <c r="M368" s="21">
        <f>VLOOKUP(A368,[1]PIVOT!$B$4:$C$400,2,FALSE)</f>
        <v/>
      </c>
      <c r="N368" s="19" t="n"/>
      <c r="Q368" s="20">
        <f>LEN(F368)</f>
        <v/>
      </c>
      <c r="W368" s="20">
        <f>LEN(G368)</f>
        <v/>
      </c>
    </row>
    <row r="369" ht="27" customHeight="1">
      <c r="A369" s="9" t="inlineStr">
        <is>
          <t>مشروع توسعة محطة تنقية كفرنجه</t>
        </is>
      </c>
      <c r="B369" s="10" t="inlineStr">
        <is>
          <t>محطة تنقية صرف صحي كفرنجة- اشتراك (2)</t>
        </is>
      </c>
      <c r="C369" s="23" t="inlineStr">
        <is>
          <t>Kofranja WWTP</t>
        </is>
      </c>
      <c r="D369" s="12" t="inlineStr">
        <is>
          <t>35.6836</t>
        </is>
      </c>
      <c r="E369" s="12" t="inlineStr">
        <is>
          <t>32.2963</t>
        </is>
      </c>
      <c r="H369" s="20">
        <f>IFERROR(VLOOKUP(A369,[1]PIVOT!$B$4:$E$391,3,FALSE),"")</f>
        <v/>
      </c>
      <c r="I369" s="19">
        <f>H369/6000</f>
        <v/>
      </c>
      <c r="J369" s="19">
        <f>IFERROR(VLOOKUP(A369,[2]PIVOT!$A$4:$B$388,2,FALSE),"")</f>
        <v/>
      </c>
      <c r="K369" s="19">
        <f>J369/6000</f>
        <v/>
      </c>
      <c r="L369" s="21">
        <f>H369/J369-1</f>
        <v/>
      </c>
      <c r="M369" s="21">
        <f>VLOOKUP(A369,[1]PIVOT!$B$4:$C$400,2,FALSE)</f>
        <v/>
      </c>
      <c r="N369" s="19" t="n"/>
      <c r="Q369" s="20">
        <f>LEN(F369)</f>
        <v/>
      </c>
      <c r="W369" s="20">
        <f>LEN(G369)</f>
        <v/>
      </c>
    </row>
    <row r="370" ht="27" customHeight="1">
      <c r="A370" s="9" t="inlineStr">
        <is>
          <t>مشروع مياه الصريح /3</t>
        </is>
      </c>
      <c r="B370" s="10" t="inlineStr">
        <is>
          <t>مشروع مياه الصريح /3</t>
        </is>
      </c>
      <c r="C370" s="24" t="e">
        <v>#N/A</v>
      </c>
      <c r="D370" s="11" t="inlineStr">
        <is>
          <t>35.893</t>
        </is>
      </c>
      <c r="E370" s="11" t="inlineStr">
        <is>
          <t>32.5012</t>
        </is>
      </c>
      <c r="H370" s="20">
        <f>IFERROR(VLOOKUP(A370,[1]PIVOT!$B$4:$E$391,3,FALSE),"")</f>
        <v/>
      </c>
      <c r="I370" s="19">
        <f>H370/6000</f>
        <v/>
      </c>
      <c r="J370" s="19">
        <f>IFERROR(VLOOKUP(A370,[2]PIVOT!$A$4:$B$388,2,FALSE),"")</f>
        <v/>
      </c>
      <c r="K370" s="19">
        <f>J370/6000</f>
        <v/>
      </c>
      <c r="L370" s="21">
        <f>H370/J370-1</f>
        <v/>
      </c>
      <c r="M370" s="21">
        <f>VLOOKUP(A370,[1]PIVOT!$B$4:$C$400,2,FALSE)</f>
        <v/>
      </c>
      <c r="N370" s="19" t="n"/>
      <c r="Q370" s="20">
        <f>LEN(F370)</f>
        <v/>
      </c>
      <c r="W370" s="20">
        <f>LEN(G370)</f>
        <v/>
      </c>
    </row>
    <row r="371" ht="27" customHeight="1">
      <c r="A371" s="9" t="inlineStr">
        <is>
          <t>مشروع مياه الصريح /4</t>
        </is>
      </c>
      <c r="B371" s="10" t="inlineStr">
        <is>
          <t>مشروع مياه الصريح /4</t>
        </is>
      </c>
      <c r="C371" s="24" t="e">
        <v>#N/A</v>
      </c>
      <c r="D371" s="11" t="inlineStr">
        <is>
          <t>35.8553</t>
        </is>
      </c>
      <c r="E371" s="11" t="inlineStr">
        <is>
          <t>32.5646</t>
        </is>
      </c>
      <c r="H371" s="20">
        <f>IFERROR(VLOOKUP(A371,[1]PIVOT!$B$4:$E$391,3,FALSE),"")</f>
        <v/>
      </c>
      <c r="I371" s="19">
        <f>H371/6000</f>
        <v/>
      </c>
      <c r="J371" s="19">
        <f>IFERROR(VLOOKUP(A371,[2]PIVOT!$A$4:$B$388,2,FALSE),"")</f>
        <v/>
      </c>
      <c r="K371" s="19">
        <f>J371/6000</f>
        <v/>
      </c>
      <c r="L371" s="21">
        <f>H371/J371-1</f>
        <v/>
      </c>
      <c r="M371" s="21">
        <f>VLOOKUP(A371,[1]PIVOT!$B$4:$C$400,2,FALSE)</f>
        <v/>
      </c>
      <c r="N371" s="19" t="n"/>
      <c r="Q371" s="20">
        <f>LEN(F371)</f>
        <v/>
      </c>
      <c r="W371" s="20">
        <f>LEN(G371)</f>
        <v/>
      </c>
    </row>
    <row r="372" ht="27" customHeight="1">
      <c r="A372" s="9" t="inlineStr">
        <is>
          <t>مشروع مياه حوارة /2</t>
        </is>
      </c>
      <c r="B372" s="10" t="inlineStr">
        <is>
          <t>مشروع مياه حوارة /2</t>
        </is>
      </c>
      <c r="C372" s="24" t="e">
        <v>#N/A</v>
      </c>
      <c r="D372" s="11" t="inlineStr">
        <is>
          <t>35.8971</t>
        </is>
      </c>
      <c r="E372" s="11" t="inlineStr">
        <is>
          <t>32.5264</t>
        </is>
      </c>
      <c r="H372" s="20">
        <f>IFERROR(VLOOKUP(A372,[1]PIVOT!$B$4:$E$391,3,FALSE),"")</f>
        <v/>
      </c>
      <c r="I372" s="19">
        <f>H372/6000</f>
        <v/>
      </c>
      <c r="J372" s="19">
        <f>IFERROR(VLOOKUP(A372,[2]PIVOT!$A$4:$B$388,2,FALSE),"")</f>
        <v/>
      </c>
      <c r="K372" s="19">
        <f>J372/6000</f>
        <v/>
      </c>
      <c r="L372" s="21">
        <f>H372/J372-1</f>
        <v/>
      </c>
      <c r="M372" s="21">
        <f>VLOOKUP(A372,[1]PIVOT!$B$4:$C$400,2,FALSE)</f>
        <v/>
      </c>
      <c r="N372" s="19" t="n"/>
      <c r="Q372" s="20">
        <f>LEN(F372)</f>
        <v/>
      </c>
      <c r="W372" s="20">
        <f>LEN(G372)</f>
        <v/>
      </c>
    </row>
    <row r="373" ht="27" customHeight="1">
      <c r="A373" s="9" t="inlineStr">
        <is>
          <t>مشروع مياه حوارة/1</t>
        </is>
      </c>
      <c r="B373" s="10" t="inlineStr">
        <is>
          <t>مشروع مياه حوارة/1</t>
        </is>
      </c>
      <c r="C373" s="24" t="e">
        <v>#N/A</v>
      </c>
      <c r="D373" s="11" t="inlineStr">
        <is>
          <t>35.8971</t>
        </is>
      </c>
      <c r="E373" s="11" t="inlineStr">
        <is>
          <t>32.5264</t>
        </is>
      </c>
      <c r="H373" s="20">
        <f>IFERROR(VLOOKUP(A373,[1]PIVOT!$B$4:$E$391,3,FALSE),"")</f>
        <v/>
      </c>
      <c r="I373" s="19">
        <f>H373/6000</f>
        <v/>
      </c>
      <c r="J373" s="19">
        <f>IFERROR(VLOOKUP(A373,[2]PIVOT!$A$4:$B$388,2,FALSE),"")</f>
        <v/>
      </c>
      <c r="K373" s="19">
        <f>J373/6000</f>
        <v/>
      </c>
      <c r="L373" s="21">
        <f>H373/J373-1</f>
        <v/>
      </c>
      <c r="M373" s="21">
        <f>VLOOKUP(A373,[1]PIVOT!$B$4:$C$400,2,FALSE)</f>
        <v/>
      </c>
      <c r="N373" s="19" t="n"/>
      <c r="Q373" s="20">
        <f>LEN(F373)</f>
        <v/>
      </c>
      <c r="W373" s="20">
        <f>LEN(G373)</f>
        <v/>
      </c>
    </row>
    <row r="374" ht="27" customHeight="1">
      <c r="A374" s="9" t="inlineStr">
        <is>
          <t>مياه اليرموك-بئرالكوم الاحمر</t>
        </is>
      </c>
      <c r="B374" s="10" t="inlineStr">
        <is>
          <t>بئر الكوم الاحمر (4)</t>
        </is>
      </c>
      <c r="C374" s="24" t="e">
        <v>#N/A</v>
      </c>
      <c r="D374" s="11" t="inlineStr">
        <is>
          <t>35.8552</t>
        </is>
      </c>
      <c r="E374" s="11" t="inlineStr">
        <is>
          <t>32.5645</t>
        </is>
      </c>
      <c r="H374" s="20">
        <f>IFERROR(VLOOKUP(A374,[1]PIVOT!$B$4:$E$391,3,FALSE),"")</f>
        <v/>
      </c>
      <c r="I374" s="19">
        <f>H374/6000</f>
        <v/>
      </c>
      <c r="J374" s="19">
        <f>IFERROR(VLOOKUP(A374,[2]PIVOT!$A$4:$B$388,2,FALSE),"")</f>
        <v/>
      </c>
      <c r="K374" s="19">
        <f>J374/6000</f>
        <v/>
      </c>
      <c r="L374" s="21">
        <f>H374/J374-1</f>
        <v/>
      </c>
      <c r="M374" s="21">
        <f>VLOOKUP(A374,[1]PIVOT!$B$4:$C$400,2,FALSE)</f>
        <v/>
      </c>
      <c r="N374" s="19" t="n"/>
      <c r="Q374" s="20">
        <f>LEN(F374)</f>
        <v/>
      </c>
      <c r="W374" s="20">
        <f>LEN(G374)</f>
        <v/>
      </c>
    </row>
    <row r="375" ht="27" customHeight="1">
      <c r="A375" s="9" t="inlineStr">
        <is>
          <t>مياه اليرموك / عيون الحمام</t>
        </is>
      </c>
      <c r="B375" s="10" t="inlineStr">
        <is>
          <t>محطة ضخ مياه عيون الحمام</t>
        </is>
      </c>
      <c r="C375" s="24" t="e">
        <v>#N/A</v>
      </c>
      <c r="D375" s="12" t="inlineStr">
        <is>
          <t>35.697157</t>
        </is>
      </c>
      <c r="E375" s="12" t="inlineStr">
        <is>
          <t>32.509205</t>
        </is>
      </c>
      <c r="F375" s="20" t="n"/>
      <c r="G375" s="20" t="n"/>
      <c r="H375" s="20">
        <f>IFERROR(VLOOKUP(A375,[1]PIVOT!$B$4:$E$391,3,FALSE),"")</f>
        <v/>
      </c>
      <c r="I375" s="19">
        <f>H375/6000</f>
        <v/>
      </c>
      <c r="J375" s="19">
        <f>IFERROR(VLOOKUP(A375,[2]PIVOT!$A$4:$B$388,2,FALSE),"")</f>
        <v/>
      </c>
      <c r="K375" s="19">
        <f>J375/6000</f>
        <v/>
      </c>
      <c r="L375" s="21">
        <f>H375/J375-1</f>
        <v/>
      </c>
      <c r="M375" s="21">
        <f>VLOOKUP(A375,[1]PIVOT!$B$4:$C$400,2,FALSE)</f>
        <v/>
      </c>
      <c r="N375" s="19" t="n"/>
      <c r="Q375" s="20">
        <f>LEN(F375)</f>
        <v/>
      </c>
      <c r="W375" s="20">
        <f>LEN(G375)</f>
        <v/>
      </c>
    </row>
    <row r="376" ht="27" customHeight="1">
      <c r="A376" s="9" t="inlineStr">
        <is>
          <t>مياه اليرموك بئر النعيمه 8</t>
        </is>
      </c>
      <c r="B376" s="10" t="inlineStr">
        <is>
          <t>بئر النعيمه (8)</t>
        </is>
      </c>
      <c r="C376" s="23" t="inlineStr">
        <is>
          <t>No'aymeh Well 8</t>
        </is>
      </c>
      <c r="D376" s="12" t="inlineStr">
        <is>
          <t>35.916256</t>
        </is>
      </c>
      <c r="E376" s="12" t="inlineStr">
        <is>
          <t>32.398418</t>
        </is>
      </c>
      <c r="H376" s="20">
        <f>IFERROR(VLOOKUP(A376,[1]PIVOT!$B$4:$E$391,3,FALSE),"")</f>
        <v/>
      </c>
      <c r="I376" s="19">
        <f>H376/6000</f>
        <v/>
      </c>
      <c r="J376" s="19">
        <f>IFERROR(VLOOKUP(A376,[2]PIVOT!$A$4:$B$388,2,FALSE),"")</f>
        <v/>
      </c>
      <c r="K376" s="19">
        <f>J376/6000</f>
        <v/>
      </c>
      <c r="L376" s="21">
        <f>H376/J376-1</f>
        <v/>
      </c>
      <c r="M376" s="21">
        <f>VLOOKUP(A376,[1]PIVOT!$B$4:$C$400,2,FALSE)</f>
        <v/>
      </c>
      <c r="N376" s="19" t="n"/>
      <c r="Q376" s="20">
        <f>LEN(F376)</f>
        <v/>
      </c>
      <c r="W376" s="20">
        <f>LEN(G376)</f>
        <v/>
      </c>
    </row>
    <row r="377" ht="27" customHeight="1">
      <c r="A377" s="9" t="inlineStr">
        <is>
          <t>مياه اليرموك/ بئر الطره</t>
        </is>
      </c>
      <c r="B377" s="10" t="inlineStr">
        <is>
          <t>بئر ومحطة تحلية الطره</t>
        </is>
      </c>
      <c r="C377" s="23" t="inlineStr">
        <is>
          <t>Atturra Well</t>
        </is>
      </c>
      <c r="D377" s="11" t="inlineStr">
        <is>
          <t>36.0065</t>
        </is>
      </c>
      <c r="E377" s="11" t="inlineStr">
        <is>
          <t>32.6218</t>
        </is>
      </c>
      <c r="H377" s="20">
        <f>IFERROR(VLOOKUP(A377,[1]PIVOT!$B$4:$E$391,3,FALSE),"")</f>
        <v/>
      </c>
      <c r="I377" s="19">
        <f>H377/6000</f>
        <v/>
      </c>
      <c r="J377" s="19">
        <f>IFERROR(VLOOKUP(A377,[2]PIVOT!$A$4:$B$388,2,FALSE),"")</f>
        <v/>
      </c>
      <c r="K377" s="19">
        <f>J377/6000</f>
        <v/>
      </c>
      <c r="L377" s="21">
        <f>H377/J377-1</f>
        <v/>
      </c>
      <c r="M377" s="21">
        <f>VLOOKUP(A377,[1]PIVOT!$B$4:$C$400,2,FALSE)</f>
        <v/>
      </c>
      <c r="N377" s="19" t="n"/>
      <c r="Q377" s="20">
        <f>LEN(F377)</f>
        <v/>
      </c>
      <c r="W377" s="20">
        <f>LEN(G377)</f>
        <v/>
      </c>
    </row>
    <row r="378" ht="27" customHeight="1">
      <c r="A378" s="9" t="inlineStr">
        <is>
          <t>مياه اليرموك/بئر الاقتصاديه6</t>
        </is>
      </c>
      <c r="B378" s="10" t="inlineStr">
        <is>
          <t>بئر الاقتصادية (6)</t>
        </is>
      </c>
      <c r="C378" s="23" t="inlineStr">
        <is>
          <t>Economic Well 6</t>
        </is>
      </c>
      <c r="D378" s="12" t="inlineStr">
        <is>
          <t>36.56663</t>
        </is>
      </c>
      <c r="E378" s="12" t="inlineStr">
        <is>
          <t>32.231633</t>
        </is>
      </c>
      <c r="H378" s="20">
        <f>IFERROR(VLOOKUP(A378,[1]PIVOT!$B$4:$E$391,3,FALSE),"")</f>
        <v/>
      </c>
      <c r="I378" s="19">
        <f>H378/6000</f>
        <v/>
      </c>
      <c r="J378" s="19">
        <f>IFERROR(VLOOKUP(A378,[2]PIVOT!$A$4:$B$388,2,FALSE),"")</f>
        <v/>
      </c>
      <c r="K378" s="19">
        <f>J378/6000</f>
        <v/>
      </c>
      <c r="L378" s="21">
        <f>H378/J378-1</f>
        <v/>
      </c>
      <c r="M378" s="21">
        <f>VLOOKUP(A378,[1]PIVOT!$B$4:$C$400,2,FALSE)</f>
        <v/>
      </c>
      <c r="N378" s="19" t="n"/>
      <c r="Q378" s="20">
        <f>LEN(F378)</f>
        <v/>
      </c>
      <c r="W378" s="20">
        <f>LEN(G378)</f>
        <v/>
      </c>
    </row>
    <row r="379" ht="27" customHeight="1">
      <c r="A379" s="9" t="inlineStr">
        <is>
          <t>مياه اليرموك/بئر الدفيانه4</t>
        </is>
      </c>
      <c r="B379" s="10" t="inlineStr">
        <is>
          <t>محطة ضخ مياه الدفيانه+ بئر (4)</t>
        </is>
      </c>
      <c r="C379" s="23" t="inlineStr">
        <is>
          <t>Dafyaneh Well 4</t>
        </is>
      </c>
      <c r="D379" s="11" t="inlineStr">
        <is>
          <t>36.5701</t>
        </is>
      </c>
      <c r="E379" s="11" t="inlineStr">
        <is>
          <t>32.3118</t>
        </is>
      </c>
      <c r="H379" s="20">
        <f>IFERROR(VLOOKUP(A379,[1]PIVOT!$B$4:$E$391,3,FALSE),"")</f>
        <v/>
      </c>
      <c r="I379" s="19">
        <f>H379/6000</f>
        <v/>
      </c>
      <c r="J379" s="19">
        <f>IFERROR(VLOOKUP(A379,[2]PIVOT!$A$4:$B$388,2,FALSE),"")</f>
        <v/>
      </c>
      <c r="K379" s="19">
        <f>J379/6000</f>
        <v/>
      </c>
      <c r="L379" s="21">
        <f>H379/J379-1</f>
        <v/>
      </c>
      <c r="M379" s="21">
        <f>VLOOKUP(A379,[1]PIVOT!$B$4:$C$400,2,FALSE)</f>
        <v/>
      </c>
      <c r="N379" s="19" t="n"/>
      <c r="Q379" s="20">
        <f>LEN(F379)</f>
        <v/>
      </c>
      <c r="W379" s="20">
        <f>LEN(G379)</f>
        <v/>
      </c>
    </row>
    <row r="380" ht="27" customHeight="1">
      <c r="A380" s="9" t="inlineStr">
        <is>
          <t>مياه اليرموك/بئر جابر 10</t>
        </is>
      </c>
      <c r="B380" s="10" t="inlineStr">
        <is>
          <t>بئر ومحطة ضخ مياه جابر (10)</t>
        </is>
      </c>
      <c r="C380" s="23" t="inlineStr">
        <is>
          <t>Jaber Well 10</t>
        </is>
      </c>
      <c r="D380" s="12" t="inlineStr">
        <is>
          <t>36.057828</t>
        </is>
      </c>
      <c r="E380" s="12" t="inlineStr">
        <is>
          <t>32.536376</t>
        </is>
      </c>
      <c r="H380" s="20">
        <f>IFERROR(VLOOKUP(A380,[1]PIVOT!$B$4:$E$391,3,FALSE),"")</f>
        <v/>
      </c>
      <c r="I380" s="19">
        <f>H380/6000</f>
        <v/>
      </c>
      <c r="J380" s="19">
        <f>IFERROR(VLOOKUP(A380,[2]PIVOT!$A$4:$B$388,2,FALSE),"")</f>
        <v/>
      </c>
      <c r="K380" s="19">
        <f>J380/6000</f>
        <v/>
      </c>
      <c r="L380" s="21">
        <f>H380/J380-1</f>
        <v/>
      </c>
      <c r="M380" s="21">
        <f>VLOOKUP(A380,[1]PIVOT!$B$4:$C$400,2,FALSE)</f>
        <v/>
      </c>
      <c r="N380" s="19" t="n"/>
      <c r="Q380" s="20">
        <f>LEN(F380)</f>
        <v/>
      </c>
      <c r="W380" s="20">
        <f>LEN(G380)</f>
        <v/>
      </c>
    </row>
    <row r="381" ht="27" customHeight="1">
      <c r="A381" s="9" t="inlineStr">
        <is>
          <t>مياه اليرموك/بئر جابر رقم9</t>
        </is>
      </c>
      <c r="B381" s="10" t="inlineStr">
        <is>
          <t>بئر جابر (9)</t>
        </is>
      </c>
      <c r="C381" s="23" t="inlineStr">
        <is>
          <t>Jaber Well 9</t>
        </is>
      </c>
      <c r="D381" s="12" t="inlineStr">
        <is>
          <t>36.049156</t>
        </is>
      </c>
      <c r="E381" s="12" t="inlineStr">
        <is>
          <t>32.551483</t>
        </is>
      </c>
      <c r="H381" s="20">
        <f>IFERROR(VLOOKUP(A381,[1]PIVOT!$B$4:$E$391,3,FALSE),"")</f>
        <v/>
      </c>
      <c r="I381" s="19">
        <f>H381/6000</f>
        <v/>
      </c>
      <c r="J381" s="19">
        <f>IFERROR(VLOOKUP(A381,[2]PIVOT!$A$4:$B$388,2,FALSE),"")</f>
        <v/>
      </c>
      <c r="K381" s="19">
        <f>J381/6000</f>
        <v/>
      </c>
      <c r="L381" s="21">
        <f>H381/J381-1</f>
        <v/>
      </c>
      <c r="M381" s="21">
        <f>VLOOKUP(A381,[1]PIVOT!$B$4:$C$400,2,FALSE)</f>
        <v/>
      </c>
      <c r="N381" s="19" t="n"/>
      <c r="Q381" s="20">
        <f>LEN(F381)</f>
        <v/>
      </c>
      <c r="W381" s="20">
        <f>LEN(G381)</f>
        <v/>
      </c>
    </row>
    <row r="382" ht="27" customHeight="1">
      <c r="A382" s="9" t="inlineStr">
        <is>
          <t>مياه اليرموك/بئر سد الوحدة 2</t>
        </is>
      </c>
      <c r="B382" s="10" t="inlineStr">
        <is>
          <t>بئر سد الوحدة (2)</t>
        </is>
      </c>
      <c r="C382" s="23" t="inlineStr">
        <is>
          <t>Wehdeh Dam Well 2</t>
        </is>
      </c>
      <c r="D382" s="12" t="inlineStr">
        <is>
          <t>35.862679</t>
        </is>
      </c>
      <c r="E382" s="12" t="inlineStr">
        <is>
          <t>32.728132</t>
        </is>
      </c>
      <c r="H382" s="20">
        <f>IFERROR(VLOOKUP(A382,[1]PIVOT!$B$4:$E$391,3,FALSE),"")</f>
        <v/>
      </c>
      <c r="I382" s="19">
        <f>H382/6000</f>
        <v/>
      </c>
      <c r="J382" s="19">
        <f>IFERROR(VLOOKUP(A382,[2]PIVOT!$A$4:$B$388,2,FALSE),"")</f>
        <v/>
      </c>
      <c r="K382" s="19">
        <f>J382/6000</f>
        <v/>
      </c>
      <c r="L382" s="21">
        <f>H382/J382-1</f>
        <v/>
      </c>
      <c r="M382" s="21">
        <f>VLOOKUP(A382,[1]PIVOT!$B$4:$C$400,2,FALSE)</f>
        <v/>
      </c>
      <c r="N382" s="19" t="n"/>
      <c r="Q382" s="20">
        <f>LEN(F382)</f>
        <v/>
      </c>
      <c r="W382" s="20">
        <f>LEN(G382)</f>
        <v/>
      </c>
    </row>
    <row r="383" ht="27" customHeight="1">
      <c r="A383" s="9" t="inlineStr">
        <is>
          <t>مياه اليرموك/بئرابوالفرث</t>
        </is>
      </c>
      <c r="B383" s="10" t="inlineStr">
        <is>
          <t>بئر ومحطة ضخ مياه ابو الفرث</t>
        </is>
      </c>
      <c r="C383" s="23" t="inlineStr">
        <is>
          <t>Abu Alfarth Well</t>
        </is>
      </c>
      <c r="D383" s="12" t="inlineStr">
        <is>
          <t>36.709672</t>
        </is>
      </c>
      <c r="E383" s="12" t="inlineStr">
        <is>
          <t>32.26417</t>
        </is>
      </c>
      <c r="H383" s="20">
        <f>IFERROR(VLOOKUP(A383,[1]PIVOT!$B$4:$E$391,3,FALSE),"")</f>
        <v/>
      </c>
      <c r="I383" s="19">
        <f>H383/6000</f>
        <v/>
      </c>
      <c r="J383" s="19">
        <f>IFERROR(VLOOKUP(A383,[2]PIVOT!$A$4:$B$388,2,FALSE),"")</f>
        <v/>
      </c>
      <c r="K383" s="19">
        <f>J383/6000</f>
        <v/>
      </c>
      <c r="L383" s="21">
        <f>H383/J383-1</f>
        <v/>
      </c>
      <c r="M383" s="21">
        <f>VLOOKUP(A383,[1]PIVOT!$B$4:$C$400,2,FALSE)</f>
        <v/>
      </c>
      <c r="N383" s="19" t="n"/>
      <c r="Q383" s="20">
        <f>LEN(F383)</f>
        <v/>
      </c>
      <c r="W383" s="20">
        <f>LEN(G383)</f>
        <v/>
      </c>
    </row>
    <row r="384" ht="27" customHeight="1">
      <c r="A384" s="9" t="inlineStr">
        <is>
          <t>نبع راسون</t>
        </is>
      </c>
      <c r="B384" s="10" t="inlineStr">
        <is>
          <t>محطة ضخ مياه ونبع عين راسون</t>
        </is>
      </c>
      <c r="C384" s="23" t="inlineStr">
        <is>
          <t>Ain Rason PS</t>
        </is>
      </c>
      <c r="D384" s="12" t="inlineStr">
        <is>
          <t>35.766025</t>
        </is>
      </c>
      <c r="E384" s="12" t="inlineStr">
        <is>
          <t>32.393275</t>
        </is>
      </c>
      <c r="H384" s="20">
        <f>IFERROR(VLOOKUP(A384,[1]PIVOT!$B$4:$E$391,3,FALSE),"")</f>
        <v/>
      </c>
      <c r="I384" s="19">
        <f>H384/6000</f>
        <v/>
      </c>
      <c r="J384" s="19">
        <f>IFERROR(VLOOKUP(A384,[2]PIVOT!$A$4:$B$388,2,FALSE),"")</f>
        <v/>
      </c>
      <c r="K384" s="19">
        <f>J384/6000</f>
        <v/>
      </c>
      <c r="L384" s="21">
        <f>H384/J384-1</f>
        <v/>
      </c>
      <c r="M384" s="21">
        <f>VLOOKUP(A384,[1]PIVOT!$B$4:$C$400,2,FALSE)</f>
        <v/>
      </c>
      <c r="N384" s="19" t="n"/>
      <c r="Q384" s="20">
        <f>LEN(F384)</f>
        <v/>
      </c>
      <c r="W384" s="20">
        <f>LEN(G384)</f>
        <v/>
      </c>
    </row>
    <row r="385" ht="27" customHeight="1">
      <c r="A385" s="9" t="inlineStr">
        <is>
          <t>هنجر الكلورين</t>
        </is>
      </c>
      <c r="B385" s="10" t="inlineStr">
        <is>
          <t>محطة ضخ مياه حوفا- مستودع الكلورين</t>
        </is>
      </c>
      <c r="C385" s="24" t="e">
        <v>#N/A</v>
      </c>
      <c r="D385" s="12" t="inlineStr">
        <is>
          <t>35.848719</t>
        </is>
      </c>
      <c r="E385" s="12" t="inlineStr">
        <is>
          <t>32.489635</t>
        </is>
      </c>
      <c r="H385" s="20">
        <f>IFERROR(VLOOKUP(A385,[1]PIVOT!$B$4:$E$391,3,FALSE),"")</f>
        <v/>
      </c>
      <c r="I385" s="19">
        <f>H385/6000</f>
        <v/>
      </c>
      <c r="J385" s="19">
        <f>IFERROR(VLOOKUP(A385,[2]PIVOT!$A$4:$B$388,2,FALSE),"")</f>
        <v/>
      </c>
      <c r="K385" s="19">
        <f>J385/6000</f>
        <v/>
      </c>
      <c r="L385" s="21">
        <f>H385/J385-1</f>
        <v/>
      </c>
      <c r="M385" s="21">
        <f>VLOOKUP(A385,[1]PIVOT!$B$4:$C$400,2,FALSE)</f>
        <v/>
      </c>
      <c r="N385" s="19" t="n"/>
      <c r="Q385" s="20">
        <f>LEN(F385)</f>
        <v/>
      </c>
      <c r="W385" s="20">
        <f>LEN(G385)</f>
        <v/>
      </c>
    </row>
    <row r="386" ht="27" customHeight="1">
      <c r="A386" s="9" t="inlineStr">
        <is>
          <t>وزارة المياه والري</t>
        </is>
      </c>
      <c r="B386" s="10" t="inlineStr">
        <is>
          <t>محطة ضخ مياه كفراسد// PS1 + بئر (1)</t>
        </is>
      </c>
      <c r="C386" s="23" t="inlineStr">
        <is>
          <t>Kufr Asad Well 7 &amp; Res.</t>
        </is>
      </c>
      <c r="D386" s="11" t="inlineStr">
        <is>
          <t>35.70667599</t>
        </is>
      </c>
      <c r="E386" s="11" t="inlineStr">
        <is>
          <t>32.60877472</t>
        </is>
      </c>
      <c r="H386" s="20">
        <f>IFERROR(VLOOKUP(A386,[1]PIVOT!$B$4:$E$391,3,FALSE),"")</f>
        <v/>
      </c>
      <c r="I386" s="19">
        <f>H386/6000</f>
        <v/>
      </c>
      <c r="J386" s="19">
        <f>IFERROR(VLOOKUP(A386,[2]PIVOT!$A$4:$B$388,2,FALSE),"")</f>
        <v/>
      </c>
      <c r="K386" s="19">
        <f>J386/6000</f>
        <v/>
      </c>
      <c r="L386" s="21">
        <f>H386/J386-1</f>
        <v/>
      </c>
      <c r="M386" s="21">
        <f>VLOOKUP(A386,[1]PIVOT!$B$4:$C$400,2,FALSE)</f>
        <v/>
      </c>
      <c r="N386" s="19" t="n"/>
      <c r="Q386" s="20">
        <f>LEN(F386)</f>
        <v/>
      </c>
      <c r="W386" s="20">
        <f>LEN(G386)</f>
        <v/>
      </c>
    </row>
    <row r="387" ht="27" customHeight="1">
      <c r="A387" s="9" t="inlineStr">
        <is>
          <t>وزارة المياه وري</t>
        </is>
      </c>
      <c r="B387" s="10" t="inlineStr">
        <is>
          <t>مكتب وزارة المياه والري- الرصد الجوي</t>
        </is>
      </c>
      <c r="C387" s="23" t="inlineStr">
        <is>
          <t>Al Koura ROU M. Office</t>
        </is>
      </c>
      <c r="D387" s="11" t="inlineStr">
        <is>
          <t>35.69198898</t>
        </is>
      </c>
      <c r="E387" s="11" t="inlineStr">
        <is>
          <t>32.50077705</t>
        </is>
      </c>
      <c r="H387" s="20">
        <f>IFERROR(VLOOKUP(A387,[1]PIVOT!$B$4:$E$391,3,FALSE),"")</f>
        <v/>
      </c>
      <c r="I387" s="19">
        <f>H387/6000</f>
        <v/>
      </c>
      <c r="J387" s="19">
        <f>IFERROR(VLOOKUP(A387,[2]PIVOT!$A$4:$B$388,2,FALSE),"")</f>
        <v/>
      </c>
      <c r="K387" s="19">
        <f>J387/6000</f>
        <v/>
      </c>
      <c r="L387" s="21">
        <f>H387/J387-1</f>
        <v/>
      </c>
      <c r="M387" s="21">
        <f>VLOOKUP(A387,[1]PIVOT!$B$4:$C$400,2,FALSE)</f>
        <v/>
      </c>
      <c r="N387" s="19" t="n"/>
      <c r="Q387" s="20">
        <f>LEN(F387)</f>
        <v/>
      </c>
      <c r="W387" s="20">
        <f>LEN(G387)</f>
        <v/>
      </c>
    </row>
    <row r="388" ht="27" customHeight="1">
      <c r="A388" s="9" t="inlineStr">
        <is>
          <t>بئر الزبيدية 4</t>
        </is>
      </c>
      <c r="B388" s="10" t="inlineStr">
        <is>
          <t>بئر الزبيدية (4)</t>
        </is>
      </c>
      <c r="C388" s="24" t="e">
        <v>#N/A</v>
      </c>
      <c r="D388" s="22" t="n"/>
      <c r="E388" s="22" t="n"/>
      <c r="H388" s="20">
        <f>IFERROR(VLOOKUP(A388,[1]PIVOT!$B$4:$E$391,3,FALSE),"")</f>
        <v/>
      </c>
      <c r="I388" s="19">
        <f>H388/6000</f>
        <v/>
      </c>
      <c r="J388" s="19">
        <f>IFERROR(VLOOKUP(A388,[2]PIVOT!$A$4:$B$388,2,FALSE),"")</f>
        <v/>
      </c>
      <c r="K388" s="19">
        <f>J388/6000</f>
        <v/>
      </c>
      <c r="L388" s="21">
        <f>H388/J388-1</f>
        <v/>
      </c>
      <c r="M388" s="21">
        <f>VLOOKUP(A388,[1]PIVOT!$B$4:$C$400,2,FALSE)</f>
        <v/>
      </c>
      <c r="N388" s="19" t="n"/>
      <c r="Q388" s="20">
        <f>LEN(F388)</f>
        <v/>
      </c>
      <c r="W388" s="20">
        <f>LEN(G388)</f>
        <v/>
      </c>
    </row>
    <row r="389" ht="27" customHeight="1">
      <c r="A389" s="9" t="inlineStr">
        <is>
          <t>بئر العاقب 126</t>
        </is>
      </c>
      <c r="B389" s="10" t="inlineStr">
        <is>
          <t>بئر العاقب ك 126</t>
        </is>
      </c>
      <c r="C389" s="24" t="e">
        <v>#N/A</v>
      </c>
      <c r="D389" s="22" t="n"/>
      <c r="E389" s="22" t="n"/>
      <c r="H389" s="20">
        <f>IFERROR(VLOOKUP(A389,[1]PIVOT!$B$4:$E$391,3,FALSE),"")</f>
        <v/>
      </c>
      <c r="I389" s="19">
        <f>H389/6000</f>
        <v/>
      </c>
      <c r="J389" s="19">
        <f>IFERROR(VLOOKUP(A389,[2]PIVOT!$A$4:$B$388,2,FALSE),"")</f>
        <v/>
      </c>
      <c r="K389" s="19">
        <f>J389/6000</f>
        <v/>
      </c>
      <c r="L389" s="21">
        <f>H389/J389-1</f>
        <v/>
      </c>
      <c r="M389" s="21">
        <f>VLOOKUP(A389,[1]PIVOT!$B$4:$C$400,2,FALSE)</f>
        <v/>
      </c>
      <c r="N389" s="19" t="n"/>
      <c r="Q389" s="20">
        <f>LEN(F389)</f>
        <v/>
      </c>
      <c r="W389" s="20">
        <f>LEN(G389)</f>
        <v/>
      </c>
    </row>
    <row r="390" ht="27" customHeight="1">
      <c r="A390" s="9" t="inlineStr">
        <is>
          <t>بئر برقش 1</t>
        </is>
      </c>
      <c r="B390" s="10" t="inlineStr">
        <is>
          <t>بئر برقش (1)</t>
        </is>
      </c>
      <c r="C390" s="24" t="e">
        <v>#N/A</v>
      </c>
      <c r="D390" s="22" t="n"/>
      <c r="E390" s="22" t="n"/>
      <c r="H390" s="20">
        <f>IFERROR(VLOOKUP(A390,[1]PIVOT!$B$4:$E$391,3,FALSE),"")</f>
        <v/>
      </c>
      <c r="I390" s="19">
        <f>H390/6000</f>
        <v/>
      </c>
      <c r="J390" s="19">
        <f>IFERROR(VLOOKUP(A390,[2]PIVOT!$A$4:$B$388,2,FALSE),"")</f>
        <v/>
      </c>
      <c r="K390" s="19">
        <f>J390/6000</f>
        <v/>
      </c>
      <c r="L390" s="21">
        <f>H390/J390-1</f>
        <v/>
      </c>
      <c r="M390" s="21">
        <f>VLOOKUP(A390,[1]PIVOT!$B$4:$C$400,2,FALSE)</f>
        <v/>
      </c>
      <c r="N390" s="19" t="n"/>
      <c r="Q390" s="20">
        <f>LEN(F390)</f>
        <v/>
      </c>
      <c r="W390" s="20">
        <f>LEN(G390)</f>
        <v/>
      </c>
    </row>
  </sheetData>
  <autoFilter ref="A2:H390"/>
  <mergeCells count="1">
    <mergeCell ref="B4:B6"/>
  </mergeCells>
  <conditionalFormatting sqref="H1:H1048576">
    <cfRule type="duplicateValues" priority="3" dxfId="0"/>
  </conditionalFormatting>
  <conditionalFormatting sqref="I2 K2:N2">
    <cfRule type="duplicateValues" priority="2" dxfId="0"/>
  </conditionalFormatting>
  <conditionalFormatting sqref="J2">
    <cfRule type="duplicateValues" priority="1" dxfId="0"/>
  </conditionalFormatting>
  <hyperlinks>
    <hyperlink xmlns:r="http://schemas.openxmlformats.org/officeDocument/2006/relationships" ref="I2" display="kW@6000H" r:id="rId1"/>
    <hyperlink xmlns:r="http://schemas.openxmlformats.org/officeDocument/2006/relationships" ref="K2" display="kW@6000H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Jean-Baptiste Abbes</dc:creator>
  <dcterms:created xsi:type="dcterms:W3CDTF">2026-09-09T09:21:59Z</dcterms:created>
  <dcterms:modified xsi:type="dcterms:W3CDTF">2026-09-27T07:10:44Z</dcterms:modified>
  <cp:lastModifiedBy>Jean-Baptiste Abbes</cp:lastModifiedBy>
</cp:coreProperties>
</file>